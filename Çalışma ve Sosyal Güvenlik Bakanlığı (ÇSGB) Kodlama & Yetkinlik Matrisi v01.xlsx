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brightwelltr-my.sharepoint.com/personal/alphan_manas_brightwell_com_tr/Documents/Teknokratlar Derneği/Bakanlıklar/"/>
    </mc:Choice>
  </mc:AlternateContent>
  <xr:revisionPtr revIDLastSave="307" documentId="11_82778F7813EC497455438336E9F1ABE18EDA789A" xr6:coauthVersionLast="47" xr6:coauthVersionMax="47" xr10:uidLastSave="{7F2BD7D7-21FB-40BC-AB70-EA29E16F1FF7}"/>
  <bookViews>
    <workbookView xWindow="-110" yWindow="-110" windowWidth="19420" windowHeight="10300" activeTab="2" xr2:uid="{00000000-000D-0000-FFFF-FFFF00000000}"/>
  </bookViews>
  <sheets>
    <sheet name="ÇSGB Kodlama" sheetId="2" r:id="rId1"/>
    <sheet name="Birim Özeti" sheetId="3" r:id="rId2"/>
    <sheet name="Yetkinlik Matrisi" sheetId="4" r:id="rId3"/>
    <sheet name="Master Yetkinlik Lİstesi" sheetId="5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E103" i="4" l="1"/>
  <c r="AE102" i="4"/>
  <c r="AE101" i="4"/>
  <c r="AE100" i="4"/>
  <c r="AE99" i="4"/>
  <c r="AE98" i="4"/>
  <c r="AE97" i="4"/>
  <c r="AE96" i="4"/>
  <c r="AE95" i="4"/>
  <c r="AE94" i="4"/>
  <c r="AE93" i="4"/>
  <c r="AE92" i="4"/>
  <c r="AE91" i="4"/>
  <c r="AE90" i="4"/>
  <c r="AE89" i="4"/>
  <c r="AE88" i="4"/>
  <c r="AE87" i="4"/>
  <c r="AE86" i="4"/>
  <c r="AE85" i="4"/>
  <c r="AE84" i="4"/>
  <c r="AE83" i="4"/>
  <c r="AE82" i="4"/>
  <c r="AE81" i="4"/>
  <c r="AE80" i="4"/>
  <c r="AE79" i="4"/>
  <c r="AE78" i="4"/>
  <c r="AE77" i="4"/>
  <c r="AE76" i="4"/>
  <c r="AE75" i="4"/>
  <c r="AE74" i="4"/>
  <c r="AE73" i="4"/>
  <c r="AE72" i="4"/>
  <c r="AE71" i="4"/>
  <c r="AE70" i="4"/>
  <c r="AE69" i="4"/>
  <c r="AE68" i="4"/>
  <c r="AE67" i="4"/>
  <c r="AE66" i="4"/>
  <c r="AE65" i="4"/>
  <c r="AE64" i="4"/>
  <c r="AE63" i="4"/>
  <c r="AE62" i="4"/>
  <c r="AE61" i="4"/>
  <c r="AE60" i="4"/>
  <c r="AE59" i="4"/>
  <c r="AE58" i="4"/>
  <c r="AE57" i="4"/>
  <c r="AE56" i="4"/>
  <c r="AE55" i="4"/>
  <c r="AE54" i="4"/>
  <c r="AE53" i="4"/>
  <c r="AE52" i="4"/>
  <c r="AE51" i="4"/>
  <c r="AE50" i="4"/>
  <c r="AE49" i="4"/>
  <c r="AE48" i="4"/>
  <c r="AE47" i="4"/>
  <c r="AE46" i="4"/>
  <c r="AE45" i="4"/>
  <c r="AE44" i="4"/>
  <c r="AE43" i="4"/>
  <c r="AE42" i="4"/>
  <c r="AE41" i="4"/>
  <c r="AE40" i="4"/>
  <c r="AE39" i="4"/>
  <c r="AE38" i="4"/>
  <c r="AE37" i="4"/>
  <c r="AE36" i="4"/>
  <c r="AE35" i="4"/>
  <c r="AE34" i="4"/>
  <c r="AE33" i="4"/>
  <c r="AE32" i="4"/>
  <c r="AE31" i="4"/>
  <c r="AE30" i="4"/>
  <c r="AE29" i="4"/>
  <c r="AE28" i="4"/>
  <c r="AE27" i="4"/>
  <c r="AE26" i="4"/>
  <c r="AE25" i="4"/>
  <c r="AE24" i="4"/>
  <c r="AE23" i="4"/>
  <c r="AE22" i="4"/>
  <c r="AE21" i="4"/>
  <c r="AE20" i="4"/>
  <c r="AE19" i="4"/>
  <c r="AE18" i="4"/>
  <c r="AE17" i="4"/>
  <c r="AE16" i="4"/>
  <c r="AE15" i="4"/>
  <c r="AE14" i="4"/>
  <c r="AE13" i="4"/>
  <c r="AE12" i="4"/>
  <c r="AE11" i="4"/>
  <c r="AE10" i="4"/>
  <c r="AE9" i="4"/>
  <c r="AE8" i="4"/>
  <c r="AE7" i="4"/>
  <c r="AE6" i="4"/>
  <c r="AE5" i="4"/>
  <c r="AE4" i="4"/>
  <c r="AE3" i="4"/>
  <c r="E20" i="3"/>
</calcChain>
</file>

<file path=xl/sharedStrings.xml><?xml version="1.0" encoding="utf-8"?>
<sst xmlns="http://schemas.openxmlformats.org/spreadsheetml/2006/main" count="4311" uniqueCount="1131">
  <si>
    <t>UID</t>
  </si>
  <si>
    <t>Bağlılık Kodu</t>
  </si>
  <si>
    <t>Ana Birim / Kurum</t>
  </si>
  <si>
    <t>Seviye</t>
  </si>
  <si>
    <t>Pozisyon Türü</t>
  </si>
  <si>
    <t>Pozisyon / Birim Adı</t>
  </si>
  <si>
    <t>Ana Birim Kodu</t>
  </si>
  <si>
    <t>Ara Bağlılık</t>
  </si>
  <si>
    <t>Alt Kod</t>
  </si>
  <si>
    <t>Yönetici Adedi</t>
  </si>
  <si>
    <t>Görev / Açıklama</t>
  </si>
  <si>
    <t>Kaynak Dosya</t>
  </si>
  <si>
    <t>Kaynak URL</t>
  </si>
  <si>
    <t>ÇSGK-BAK-XXX-XXX</t>
  </si>
  <si>
    <t>BAK</t>
  </si>
  <si>
    <t>Bakan</t>
  </si>
  <si>
    <t>Bakanlık üst yönetimi</t>
  </si>
  <si>
    <t>ÇSGB dokümanı</t>
  </si>
  <si>
    <t>https://www.csgb.gov.tr/bakanlik/hakkinda/teskilat-semasi/</t>
  </si>
  <si>
    <t>ÇSGB-BY1-XXX-XXX</t>
  </si>
  <si>
    <t>Bakan Yardımcısı - 1</t>
  </si>
  <si>
    <t>Bakan Yardımcısı</t>
  </si>
  <si>
    <t>Bakan Yardımcılığı</t>
  </si>
  <si>
    <t>BY1</t>
  </si>
  <si>
    <t>ÇSGB-BY2-XXX-XXX</t>
  </si>
  <si>
    <t>Bakan Yardımcısı - 2</t>
  </si>
  <si>
    <t>BY2</t>
  </si>
  <si>
    <t>ÇSGB-BY3-XXX-XXX</t>
  </si>
  <si>
    <t>Bakan Yardımcısı - 3</t>
  </si>
  <si>
    <t>BY3</t>
  </si>
  <si>
    <t>ÇSGB-BY4-XXX-XXX</t>
  </si>
  <si>
    <t>Bakan Yardımcısı - 4</t>
  </si>
  <si>
    <t>BY4</t>
  </si>
  <si>
    <t>ÇSGB-BAK-BHM-XXX</t>
  </si>
  <si>
    <t>Basın ve Halkla İlişkiler Müşavirliği</t>
  </si>
  <si>
    <t>Ana Birim</t>
  </si>
  <si>
    <t>BHM</t>
  </si>
  <si>
    <t>ÇSGB-BY2-BTM-XXX</t>
  </si>
  <si>
    <t>Bilgi Teknolojileri Genel Müdürlüğü</t>
  </si>
  <si>
    <t>BTM</t>
  </si>
  <si>
    <t>ÇSGB-BY2-BTM-BGB</t>
  </si>
  <si>
    <t>Alt Birim / Pozisyon</t>
  </si>
  <si>
    <t>Alt Birim</t>
  </si>
  <si>
    <t>Bilgi Güvenliği Daire Başkanlığı</t>
  </si>
  <si>
    <t>BGB</t>
  </si>
  <si>
    <t>Bakanlığın bilgi güvenliği politikalarını oluşturur, uygular ve siber güvenlik tehditlerine karşı önlemler alır.</t>
  </si>
  <si>
    <t>ÇSGB-BY2-BTM-KDB</t>
  </si>
  <si>
    <t>Kullanıcı Destek ve Eğitim Daire Başkanlığı</t>
  </si>
  <si>
    <t>KDB</t>
  </si>
  <si>
    <t>Bakanlık personeline bilgi teknolojileri konusunda destek sağlar ve eğitim programları düzenler.</t>
  </si>
  <si>
    <t>ÇSGB-BY2-BTM-PYB</t>
  </si>
  <si>
    <t>Proje Yönetimi Daire Başkanlığı</t>
  </si>
  <si>
    <t>PYB</t>
  </si>
  <si>
    <t>Bilgi teknolojileri projelerinin planlanması, yürütülmesi ve izlenmesi süreçlerini koordine eder.</t>
  </si>
  <si>
    <t>ÇSGB-BY2-BTM-SYB</t>
  </si>
  <si>
    <t>Sistem Yönetimi Daire Başkanlığı</t>
  </si>
  <si>
    <t>SYB</t>
  </si>
  <si>
    <t>Bakanlığın sunucu, veri tabanı ve ağ altyapısının yönetimi, bakımı ve güvenliğini sağlar.</t>
  </si>
  <si>
    <t>ÇSGB-BY2-BTM-VAB</t>
  </si>
  <si>
    <t>Veri Analitiği ve Raporlama Daire Başkanlığı</t>
  </si>
  <si>
    <t>VAB</t>
  </si>
  <si>
    <t>Bakanlığın veri analizi ihtiyaçlarını karşılar ve raporlamalar yapar.</t>
  </si>
  <si>
    <t>ÇSGB-BY2-BTM-YGB</t>
  </si>
  <si>
    <t>Yazılım Geliştirme Daire Başkanlığı</t>
  </si>
  <si>
    <t>YGB</t>
  </si>
  <si>
    <t>Bakanlığın ihtiyaç duyduğu yazılımların geliştirilmesi, mevcut yazılımların güncellenmesi ve entegrasyon süreçlerini yönetir.</t>
  </si>
  <si>
    <t>ÇSGB-BY3-ÇGM-XXX</t>
  </si>
  <si>
    <t>Çalışma Genel Müdürlüğü</t>
  </si>
  <si>
    <t>ÇGM</t>
  </si>
  <si>
    <t>ÇSGB-BY3-ÇGM-ÇİB</t>
  </si>
  <si>
    <t>Çalışma İstatistikleri Daire Başkanlığı</t>
  </si>
  <si>
    <t>ÇİB</t>
  </si>
  <si>
    <t>Çalışma hayatına ilişkin istatistiksel verileri toplar, analiz eder ve raporlar hazırlar.</t>
  </si>
  <si>
    <t>ÇSGB-BY3-ÇGM-HDB</t>
  </si>
  <si>
    <t>Hukuk Daire Başkanlığı</t>
  </si>
  <si>
    <t>HDB</t>
  </si>
  <si>
    <t>Çalışma mevzuatının uygulanmasıyla ilgili hukuki süreçleri yönetir ve danışmanlık hizmeti sunar.</t>
  </si>
  <si>
    <t>ÇSGB-BY3-ÇGM-İPB</t>
  </si>
  <si>
    <t>İstihdam Politikaları Daire Başkanlığı</t>
  </si>
  <si>
    <t>İPB</t>
  </si>
  <si>
    <t>İstihdamı artırmaya yönelik politikalar geliştirir ve uygular.</t>
  </si>
  <si>
    <t>ÇSGB-BY3-ÇGM-KSB</t>
  </si>
  <si>
    <t>Kamu Sendikaları ve Görevlileri Daire Başkanlığı</t>
  </si>
  <si>
    <t>KSB</t>
  </si>
  <si>
    <t>Kamu görevlileri sendikalarıyla ilgili işlemleri yürütür.</t>
  </si>
  <si>
    <t>ÇSGB-BY3-ÇGM-REB</t>
  </si>
  <si>
    <t>Rehberlik, Eğitim ve Yayın Daire Başkanlığı</t>
  </si>
  <si>
    <t>REB</t>
  </si>
  <si>
    <t>Çalışma hayatına dair eğitim programları düzenler, rehberlik hizmetleri sunar ve ilgili yayınları hazırlar.</t>
  </si>
  <si>
    <t>ÇSGB-BY3-ÇGM-SİB</t>
  </si>
  <si>
    <t>Sendikalar ve İşkolları Daire Başkanlığı</t>
  </si>
  <si>
    <t>SİB</t>
  </si>
  <si>
    <t>Sendikaların ve işkollarının faaliyetlerini izler ve düzenler.</t>
  </si>
  <si>
    <t>ÇSGB-BY3-ÇGM-TİB</t>
  </si>
  <si>
    <t>Toplu İş Sözleşmesi ve Sendika Üyeliği Daire Başkanlığı</t>
  </si>
  <si>
    <t>TİB</t>
  </si>
  <si>
    <t>Toplu iş sözleşmeleri ve sendika üyelik süreçlerini yönetir.</t>
  </si>
  <si>
    <t>ÇSGB-BY3-ÇGM-YHB</t>
  </si>
  <si>
    <t>Yönetim Hizmetleri Daire Başkanlığı</t>
  </si>
  <si>
    <t>YHB</t>
  </si>
  <si>
    <t>Genel Müdürlüğün idari ve mali işlerini koordine eder.</t>
  </si>
  <si>
    <t>ÇSGB-BY2-ÇAL-XXX</t>
  </si>
  <si>
    <t>Çalışma ve Sosyal Güvenlik Eğitim ve Araştırma Merkezi</t>
  </si>
  <si>
    <t>ÇAL</t>
  </si>
  <si>
    <t>ÇSGB-BAK-DES-XXX</t>
  </si>
  <si>
    <t>Destek Hizmetleri Dairesi Başkanlığı</t>
  </si>
  <si>
    <t>DES</t>
  </si>
  <si>
    <t>Bakanlığın idari, sosyal ve mali hizmetlerini etkin bir şekilde yürütmek amacıyla çeşitli müdürlükler ve birimlerden oluşmaktadır. Bu yapı, Başkan ve 2 Daire Başkan Yardımcısı (DH1 &amp; DH2) tarafından yönetilmektedir.</t>
  </si>
  <si>
    <t>ÇSGB-BAK-DES-DH1</t>
  </si>
  <si>
    <t>İdari İşler Başkanlığı</t>
  </si>
  <si>
    <t>DH1</t>
  </si>
  <si>
    <t>ÇSGB-BAK-DES-İKM</t>
  </si>
  <si>
    <t>İnsan Kaynakları, Yemekhane Hizmetleri Şube Müdürlüğü</t>
  </si>
  <si>
    <t>İKM</t>
  </si>
  <si>
    <t>Personel işlemleri ve yemekhane hizmetlerini yönetir.</t>
  </si>
  <si>
    <t>ÇSGB-BAK-DES-GEM</t>
  </si>
  <si>
    <t>Genel Evrak Hizmetleri, Arşiv Hizmetleri Şube Müdürlüğü</t>
  </si>
  <si>
    <t>GEM</t>
  </si>
  <si>
    <t>Gelen ve giden evrak işlemleri ile arşiv hizmetlerini yürütür.</t>
  </si>
  <si>
    <t>ÇSGB-BAK-DES-KGM</t>
  </si>
  <si>
    <t>Koruma ve Güvenlik Hizmetleri, Ar-Ge ve Koordinasyon Şube Müdürlüğü</t>
  </si>
  <si>
    <t>KGM</t>
  </si>
  <si>
    <t>Bakanlığın güvenlik hizmetleri ile araştırma ve geliştirme faaliyetlerini koordine eder.</t>
  </si>
  <si>
    <t>ÇSGB-BAK-DES-KTB</t>
  </si>
  <si>
    <t>Kurum Tabipliği</t>
  </si>
  <si>
    <t>KTB</t>
  </si>
  <si>
    <t>Personelin sağlık hizmetlerini sağlar.</t>
  </si>
  <si>
    <t>ÇSGB-BAK-DES-DH2</t>
  </si>
  <si>
    <t>Mali ve Teknik İşler Daire Başkanlığı</t>
  </si>
  <si>
    <t>DH2</t>
  </si>
  <si>
    <t>ÇSGB-BAK-DES-MTB</t>
  </si>
  <si>
    <t>Bütçe ve Tahakkuk, Satın Alma, Ulaştırma ve Araç Hizmetleri Şube Müdürlüğü</t>
  </si>
  <si>
    <t>MTB</t>
  </si>
  <si>
    <t>Bütçe hazırlığı, satın alma işlemleri ve araç hizmetlerini koordine eder.</t>
  </si>
  <si>
    <t>ÇSGB-BAK-DES-İHM</t>
  </si>
  <si>
    <t>İhale Hizmetleri Şube Müdürlüğü</t>
  </si>
  <si>
    <t>İHM</t>
  </si>
  <si>
    <t>Mal ve hizmet alım ihalelerini düzenler.</t>
  </si>
  <si>
    <t>ÇSGB-BAK-DES-İEM</t>
  </si>
  <si>
    <t>İnşaat, Emlak ve Teknik Hizmetler, Sivil Savunma, İş Sağlığı ve Güvenliği Şube Müdürlüğü</t>
  </si>
  <si>
    <t>İEM</t>
  </si>
  <si>
    <t>Bakanlığın bina ve tesislerinin inşaat, bakım ve onarım işlemleri ile iş sağlığı ve güvenliği hizmetlerini yürütür.</t>
  </si>
  <si>
    <t>Kreş ve Gündüz Bakımevi Şubesi Müdürlüğü</t>
  </si>
  <si>
    <t>Personelin çocuklarına yönelik bakım hizmetlerini sunar.</t>
  </si>
  <si>
    <t>ÇSGB-BAK-DES-STM</t>
  </si>
  <si>
    <t>Sosyal Tesisler Şube Müdürlüğü</t>
  </si>
  <si>
    <t>STM</t>
  </si>
  <si>
    <t>Bakanlığa ait sosyal tesislerin işletilmesini sağlar.</t>
  </si>
  <si>
    <t>ÇSGB-BAK-DES-YHM</t>
  </si>
  <si>
    <t>Taşınır Hizmetleri ve Temizlik Hizmetleri Şube Müdürlüğü</t>
  </si>
  <si>
    <t>YHM</t>
  </si>
  <si>
    <t>Bakanlığın taşınır mallarının yönetimi ve temizlik hizmetlerini organize eder.</t>
  </si>
  <si>
    <t>ÇSGB-BY1-DIŞ-XXX</t>
  </si>
  <si>
    <t>Dış İlişkiler ve Avrupa Birliği Genel Müdürlüğü</t>
  </si>
  <si>
    <t>DIŞ</t>
  </si>
  <si>
    <t>ÇSGB-BY1-DIŞ-ADB</t>
  </si>
  <si>
    <t>Anlaşmalar Daire Başkanlığı</t>
  </si>
  <si>
    <t>ADB</t>
  </si>
  <si>
    <t>Yabancı ülkelerle sosyal güvenlik ve çalışma hayatına ilişkin anlaşmaların hazırlanması, müzakeresi ve uygulanmasını koordine eder.</t>
  </si>
  <si>
    <t>ÇSGB-BY1-DIŞ-ABİ</t>
  </si>
  <si>
    <t>Avrupa Birliği İşleri ve Uluslararası Projeler Daire Başkanlığı</t>
  </si>
  <si>
    <t>ABİ</t>
  </si>
  <si>
    <t>Avrupa Birliği müktesebatına uyum çalışmaları ile uluslararası projelerin hazırlanması ve uygulanmasını sağlar.</t>
  </si>
  <si>
    <t>ÇSGB-BY1-DIŞ-UKD</t>
  </si>
  <si>
    <t>Uluslararası Kuruluşlar Daire Başkanlığı</t>
  </si>
  <si>
    <t>UKD</t>
  </si>
  <si>
    <t>Uluslararası kuruluşlarla ilişkileri yürütür ve bu kuruluşlara üyelikten doğan yükümlülükleri yerine getirir.</t>
  </si>
  <si>
    <t>ÇSGB-BY1-DIŞ-YTK</t>
  </si>
  <si>
    <t>Yurtdışı Teşkilatı ve Koordinasyon Daire Başkanlığı</t>
  </si>
  <si>
    <t>YTK</t>
  </si>
  <si>
    <t>Bakanlığın yurtdışı teşkilatının faaliyetlerini koordine eder ve yurtdışında yaşayan vatandaşlara yönelik hizmetleri takip eder.</t>
  </si>
  <si>
    <t>ÇSGB-BY2-ERE-XXX</t>
  </si>
  <si>
    <t>Ereğli Kömür Havzası Amele Birliği Biriktirme ve Yardımlaşma Sandığı</t>
  </si>
  <si>
    <t>ERE</t>
  </si>
  <si>
    <t>ÇSGB-BY2-HUK-XXX</t>
  </si>
  <si>
    <t>Hukuk Hizmetleri Genel Müdürlüğü</t>
  </si>
  <si>
    <t>HUK</t>
  </si>
  <si>
    <t>ÇSGB-BAK-İDB-XXX</t>
  </si>
  <si>
    <t>İç Denetim Birimi Başkanlığı</t>
  </si>
  <si>
    <t>İDB</t>
  </si>
  <si>
    <t>Başkanlık, iç denetim faaliyetlerini planlamak, yürütmek ve raporlamakla sorumludur.</t>
  </si>
  <si>
    <t>ÇSGB-BY4-İSGGM-XXX</t>
  </si>
  <si>
    <t>İş Sağlığı ve Güvenliği Genel Müdürlüğü</t>
  </si>
  <si>
    <t>İSGGM</t>
  </si>
  <si>
    <t>İş sağlığı ve güvenliği alanında politika geliştirme, mevzuat hazırlama, denetim ve eğitim faaliyetlerini yürüten birimdir. Genel Müdürlük bünyesinde aşağıdaki daire başkanlıkları ve birimler bulunmaktadır</t>
  </si>
  <si>
    <t>ÇSGB-BY4-İSGGM-İSB</t>
  </si>
  <si>
    <t>İş Sağlığı ve Güvenliği Araştırma ve Geliştirme Enstitüsü Başkanlığı (İSGÜM)</t>
  </si>
  <si>
    <t>İSB</t>
  </si>
  <si>
    <t>İş sağlığı ve güvenliği alanında araştırma ve geliştirme faaliyetlerini yürütür, laboratuvar hizmetleri sunar.</t>
  </si>
  <si>
    <t>ÇSGB-BY4-İSGGM-İOB</t>
  </si>
  <si>
    <t>İşbirliği ve Organizasyon Daire Başkanlığı</t>
  </si>
  <si>
    <t>İOB</t>
  </si>
  <si>
    <t>İş sağlığı ve güvenliği alanında ulusal ve uluslararası işbirliklerini koordine eder, organizasyonları düzenler.</t>
  </si>
  <si>
    <t>ÇSGB-BY4-İSGGM-MDB</t>
  </si>
  <si>
    <t>Mevzuat Daire Başkanlığı</t>
  </si>
  <si>
    <t>MDB</t>
  </si>
  <si>
    <t>İş sağlığı ve güvenliği mevzuatının hazırlanması, güncellenmesi ve uygulanmasını sağlar.</t>
  </si>
  <si>
    <t>ÇSGB-BY4-İSGGM-PGB</t>
  </si>
  <si>
    <t>Piyasa Gözetim ve Denetim Daire Başkanlığı</t>
  </si>
  <si>
    <t>PGB</t>
  </si>
  <si>
    <t>İş ekipmanları ve kişisel koruyucu donanımların piyasa gözetimi ve denetimini gerçekleştirir.</t>
  </si>
  <si>
    <t>ÇSGB-BY4-İSGGM-SRB</t>
  </si>
  <si>
    <t>Sektörel Risk Yönetimi Daire Başkanlığı</t>
  </si>
  <si>
    <t>SRB</t>
  </si>
  <si>
    <t>Farklı sektörlerdeki iş sağlığı ve güvenliği risklerini analiz eder ve yönetim stratejileri geliştirir.</t>
  </si>
  <si>
    <t>ÇSGB-BY4-İSGGM-VYS</t>
  </si>
  <si>
    <t>Veri Yönetimi ve Strateji Daire Başkanlığı</t>
  </si>
  <si>
    <t>VYS</t>
  </si>
  <si>
    <t>İş sağlığı ve güvenliği ile ilgili verilerin toplanması, analizi ve stratejik planlamasını yapar.</t>
  </si>
  <si>
    <t>ÇSGB-BY4-İSGGM-YDB</t>
  </si>
  <si>
    <t>Yetkilendirme Daire Başkanlığı</t>
  </si>
  <si>
    <t>YDB</t>
  </si>
  <si>
    <t>İş sağlığı ve güvenliği hizmeti sunan kurum ve kuruluşların yetkilendirilmesi ve denetimini yürütür.</t>
  </si>
  <si>
    <t>ÇSGB-BY4-İSGGM-YHB</t>
  </si>
  <si>
    <t>ÇSGB-BY3-MYK-XXX</t>
  </si>
  <si>
    <t>Mesleki Yeterlilik Kurumu</t>
  </si>
  <si>
    <t>MYK</t>
  </si>
  <si>
    <t>Türkiye'de ulusal mesleki yeterlilik sistemini kurmak ve işletmekle sorumludur.</t>
  </si>
  <si>
    <t>ÇSGB-BY3-MYK-SBD</t>
  </si>
  <si>
    <t>Sınav ve Belgelendirme Dairesi Başkanlığı</t>
  </si>
  <si>
    <t>SBD</t>
  </si>
  <si>
    <t>Mesleki yeterlilik sınavlarının ve belgelendirme süreçlerinin düzenlenmesi ve denetlenmesinden sorumludur.</t>
  </si>
  <si>
    <t>ÇSGB-BY3-MYK-UYB</t>
  </si>
  <si>
    <t>Ulusal Yeterlilik Dairesi Başkanlığı</t>
  </si>
  <si>
    <t>UYB</t>
  </si>
  <si>
    <t>Ulusal meslek standartları ve yeterliliklerin hazırlanması, güncellenmesi ve yayımlanması görevini üstlenir.</t>
  </si>
  <si>
    <t>ÇSGB-BY3-MYK-SKB</t>
  </si>
  <si>
    <t>Sektör Komiteleri Dairesi Başkanlığı</t>
  </si>
  <si>
    <t>SKB</t>
  </si>
  <si>
    <t>Farklı sektörlerdeki mesleklerin standartlarının belirlenmesi için sektör komitelerinin oluşturulması ve çalışmalarının koordine edilmesini sağlar.</t>
  </si>
  <si>
    <t>ÇSGB-BY3-MYK-SGB</t>
  </si>
  <si>
    <t>Strateji Geliştirme Dairesi Başkanlığı</t>
  </si>
  <si>
    <t>SGB</t>
  </si>
  <si>
    <t>Kurumun stratejik planlarının hazırlanması, performans programlarının oluşturulması ve kurumsal gelişim faaliyetlerini yürütür.</t>
  </si>
  <si>
    <t>ÇSGB-BY3-MYK-HMŞ</t>
  </si>
  <si>
    <t>Hukuk Müşavirliği</t>
  </si>
  <si>
    <t>HMŞ</t>
  </si>
  <si>
    <t>Kurumun hukuki işlemlerini yürütür, mevzuat çalışmalarına katkı sağlar ve hukuki danışmanlık hizmeti sunar.</t>
  </si>
  <si>
    <t>ÇSGB-BY3-MYK-İKB</t>
  </si>
  <si>
    <t>İnsan Kaynakları ve Destek Hizmetleri Dairesi Başkanlığı</t>
  </si>
  <si>
    <t>İKB</t>
  </si>
  <si>
    <t>Kurum personelinin özlük işlemleri, eğitim faaliyetleri ve idari hizmetlerin yürütülmesinden sorumludur.</t>
  </si>
  <si>
    <t>ÇSGB-BY3-MYK-BİB</t>
  </si>
  <si>
    <t>Bilgi İşlem Dairesi Başkanlığı</t>
  </si>
  <si>
    <t>BİB</t>
  </si>
  <si>
    <t>Kurumun bilgi teknolojileri altyapısını yönetir, yazılım ve donanım ihtiyaçlarını karşılar.</t>
  </si>
  <si>
    <t>ÇSGB-BY3-MYK-BHM</t>
  </si>
  <si>
    <t>Kurumun basın ve halkla ilişkiler faaliyetlerini planlar ve yürütür.</t>
  </si>
  <si>
    <t>ÇSGB-BAK-ÖKM-XXX</t>
  </si>
  <si>
    <t>Özel Kalem Müdürlüğü</t>
  </si>
  <si>
    <t>ÖKM</t>
  </si>
  <si>
    <t>ÇSGB-BAK-PDB-XXX</t>
  </si>
  <si>
    <t>Personel Dairesi Başkanlığı</t>
  </si>
  <si>
    <t>PDB</t>
  </si>
  <si>
    <t>ÇSGB-BAK-PDB-AKM</t>
  </si>
  <si>
    <t>Atama ve Kadro Şube Müdürlüğü</t>
  </si>
  <si>
    <t>AKM</t>
  </si>
  <si>
    <t>Personelin atama, nakil ve kadro işlemlerini yürütür.</t>
  </si>
  <si>
    <t>ÇSGB-BAK-PDB-DSM</t>
  </si>
  <si>
    <t>Disiplin ve Sicil Şube Müdürlüğü</t>
  </si>
  <si>
    <t>DSM</t>
  </si>
  <si>
    <t>Personelin disiplin işlemleri ve sicil kayıtlarını tutar.</t>
  </si>
  <si>
    <t>ÇSGB-BAK-PDB-ESM</t>
  </si>
  <si>
    <t>Eğitim ve Sınav Şube Müdürlüğü</t>
  </si>
  <si>
    <t>ESM</t>
  </si>
  <si>
    <t>Personelin hizmet içi eğitim programlarını planlar ve uygular; görevde yükselme ve unvan değişikliği sınavlarını organize eder.</t>
  </si>
  <si>
    <t>ÇSGB-BAK-PDB-İİM</t>
  </si>
  <si>
    <t>İdari İşler Şube Müdürlüğü</t>
  </si>
  <si>
    <t>İİM</t>
  </si>
  <si>
    <t>Daire Başkanlığı'nın idari işlerini koordine eder.</t>
  </si>
  <si>
    <t>ÇSGB-BAK-PDB-İBM</t>
  </si>
  <si>
    <t>İstatistik ve Bilgi İşlem Şube Müdürlüğü</t>
  </si>
  <si>
    <t>İBM</t>
  </si>
  <si>
    <t>Personel istatistiklerini hazırlar ve bilgi işlem hizmetlerini sağlar.</t>
  </si>
  <si>
    <t>ÇSGB-BAK-PDB-ÖEM</t>
  </si>
  <si>
    <t>Özlük ve Emeklilik İşlemleri Şube Müdürlüğü</t>
  </si>
  <si>
    <t>ÖEM</t>
  </si>
  <si>
    <t>Personelin özlük hakları, terfi, emeklilik ve benzeri işlemlerini gerçekleştirir.</t>
  </si>
  <si>
    <t>ÇSGB-BAK-RTB-XXX</t>
  </si>
  <si>
    <t>Rehberlik ve Teftiş Başkanlığı</t>
  </si>
  <si>
    <t>RTB</t>
  </si>
  <si>
    <t>Doğrudan Bakana bağlı olarak faaliyet gösteren birimdir. Başkanlık, iş sağlığı ve güvenliği, çalışma hayatı ve sosyal güvenlik alanlarında denetim, rehberlik ve teftiş hizmetleri sunmaktadır.</t>
  </si>
  <si>
    <t>ÇSGB-BAK-RTB-06B</t>
  </si>
  <si>
    <t>Ankara Rehberlik ve Teftiş Grup Başkanlığı</t>
  </si>
  <si>
    <t>06B</t>
  </si>
  <si>
    <t>ÇSGB-BAK-RTB-34B</t>
  </si>
  <si>
    <t>İstanbul Rehberlik ve Teftiş Grup Başkanlığı</t>
  </si>
  <si>
    <t>34B</t>
  </si>
  <si>
    <t>ÇSGB-BAK-RTB-35B</t>
  </si>
  <si>
    <t>İzmir Rehberlik ve Teftiş Grup Başkanlığı</t>
  </si>
  <si>
    <t>35B</t>
  </si>
  <si>
    <t>ÇSGB-BAK-RTB-16B</t>
  </si>
  <si>
    <t>Bursa Rehberlik ve Teftiş Grup Başkanlığı</t>
  </si>
  <si>
    <t>16B</t>
  </si>
  <si>
    <t>ÇSGB-BAK-RTB-01B</t>
  </si>
  <si>
    <t>Adana Rehberlik ve Teftiş Grup Başkanlığı</t>
  </si>
  <si>
    <t>01B</t>
  </si>
  <si>
    <t>ÇSGB-BY1-SGK-XXX</t>
  </si>
  <si>
    <t>Sosyal Güvenlik Kurumu</t>
  </si>
  <si>
    <t>SGK</t>
  </si>
  <si>
    <t>ÇSGB-BY1-SGK-AFB</t>
  </si>
  <si>
    <t>Aktüerya ve Fon Yönetimi Daire Başkanlığı</t>
  </si>
  <si>
    <t>AFB</t>
  </si>
  <si>
    <t>Sosyal güvenlik sisteminin finansal sürdürülebilirliğini sağlamak için aktüeryal hesaplamalar yapar ve fonları yönetir.</t>
  </si>
  <si>
    <t>ÇSGB-BY1-SGK-BHM</t>
  </si>
  <si>
    <t>ÇSGB-BY1-SGK-DHB</t>
  </si>
  <si>
    <t>Destek Hizmetleri Daire Başkanlığı</t>
  </si>
  <si>
    <t>DHB</t>
  </si>
  <si>
    <t>Kurumun idari, sosyal ve mali hizmetlerini, satın alma, bakım-onarım ve arşiv hizmetlerini yürütür.</t>
  </si>
  <si>
    <t>ÇSGB-BY1-SGK-EAB</t>
  </si>
  <si>
    <t>Eğitim, Araştırma ve Geliştirme Merkezi Başkanlığı</t>
  </si>
  <si>
    <t>EAB</t>
  </si>
  <si>
    <t>Kurum personelinin eğitim ihtiyaçlarını belirler ve eğitim programları düzenler.</t>
  </si>
  <si>
    <t>ÇSGB-BY1-SGK-EHM</t>
  </si>
  <si>
    <t>Emeklilik Hizmetleri Genel Müdürlüğü</t>
  </si>
  <si>
    <t>EHM</t>
  </si>
  <si>
    <t>Sigortalıların emeklilik işlemlerini yürütür, emeklilikle ilgili mevzuatı hazırlar ve uygular.</t>
  </si>
  <si>
    <t>ÇSGB-BY1-SGK-GSM</t>
  </si>
  <si>
    <t>Genel Sağlık Sigortası Genel Müdürlüğü</t>
  </si>
  <si>
    <t>GSM</t>
  </si>
  <si>
    <t>Genel sağlık sigortası kapsamındaki hizmetleri planlar, sağlık hizmet sunucularıyla sözleşmeler yapar ve sağlık harcamalarını denetler.</t>
  </si>
  <si>
    <t>ÇSGB-BY1-SGK-HSM</t>
  </si>
  <si>
    <t>Hizmet Sunumu Genel Müdürlüğü</t>
  </si>
  <si>
    <t>HSM</t>
  </si>
  <si>
    <t>SGK'nın sunduğu hizmetlerin etkin ve verimli bir şekilde sunulmasını sağlar, bilgi teknolojileri altyapısını yönetir.</t>
  </si>
  <si>
    <t>ÇSGB-BY1-SGK-HMŞ</t>
  </si>
  <si>
    <t>Kurumun hukuki işlemlerini yürütür, dava ve icra takiplerini gerçekleştirir.</t>
  </si>
  <si>
    <t>ÇSGB-BY1-SGK-İEB</t>
  </si>
  <si>
    <t>İnşaat ve Emlak Daire Başkanlığı</t>
  </si>
  <si>
    <t>İEB</t>
  </si>
  <si>
    <t>Kurumun bina ve tesislerinin inşaat, bakım ve emlak işlemlerini yönetir.</t>
  </si>
  <si>
    <t>ÇSGB-BY1-SGK-PDB</t>
  </si>
  <si>
    <t>Personel Daire Başkanlığı</t>
  </si>
  <si>
    <t>Kurum personelinin özlük işlemleri, atama, terfi ve eğitim faaliyetlerini yönetir.</t>
  </si>
  <si>
    <t>ÇSGB-BY1-SGK-RTB</t>
  </si>
  <si>
    <t>Kurum içi denetim ve teftiş faaliyetlerini yürütür, mevzuata uygunluğu denetler.</t>
  </si>
  <si>
    <t>ÇSGB-BY1-SGK-SGB</t>
  </si>
  <si>
    <t>Strateji Geliştirme Başkanlığı</t>
  </si>
  <si>
    <t>Kurumun stratejik planlarını hazırlar, performans ve kalite yönetimi süreçlerini yürütür.</t>
  </si>
  <si>
    <t>ÇSGB-BY1-SGK-SPM</t>
  </si>
  <si>
    <t>Sigorta Primleri Genel Müdürlüğü</t>
  </si>
  <si>
    <t>SPM</t>
  </si>
  <si>
    <t>Sigorta primlerinin tahsilatı, takibi ve prim borçlarının yapılandırılması işlemlerini gerçekleştirir.</t>
  </si>
  <si>
    <t>ÇSGB-BY1-STR-XXX</t>
  </si>
  <si>
    <t>STR</t>
  </si>
  <si>
    <t>Bakanlığın stratejik planlama, performans yönetimi, bütçe hazırlama ve mali kontrol gibi alanlarda faaliyet gösteren birimidir.</t>
  </si>
  <si>
    <t>ÇSGB-BY1-STR-BDB</t>
  </si>
  <si>
    <t>Bütçe Daire Başkanlığı</t>
  </si>
  <si>
    <t>BDB</t>
  </si>
  <si>
    <t>Bakanlığın bütçe hazırlık süreçlerini koordine eder, bütçe uygulamalarını izler ve mali raporlamaları gerçekleştirir.</t>
  </si>
  <si>
    <t>ÇSGB-BY1-STR-İKD</t>
  </si>
  <si>
    <t>İç Kontrol Daire Başkanlığı</t>
  </si>
  <si>
    <t>İKD</t>
  </si>
  <si>
    <t>Bakanlık içindeki mali ve idari süreçlerin etkinliğini ve verimliliğini sağlamak amacıyla iç kontrol sistemlerini geliştirir ve uygular.</t>
  </si>
  <si>
    <t>ÇSGB-BY1-STR-MDB</t>
  </si>
  <si>
    <t>Muhasebe Daire Başkanlığı</t>
  </si>
  <si>
    <t>Bakanlığın mali işlemlerinin muhasebeleştirilmesi, mali tabloların hazırlanması ve mali verilerin doğruluğunu sağlamakla görevlidir.</t>
  </si>
  <si>
    <t>ÇSGB-BY1-STR-PKY</t>
  </si>
  <si>
    <t>Performans ve Kalite Yönetimi Daire Başkanlığı</t>
  </si>
  <si>
    <t>PKY</t>
  </si>
  <si>
    <t>Bakanlığın performans hedeflerini belirler, performans ölçümlerini yapar ve hizmet kalitesini artırmaya yönelik çalışmalar yürütür.</t>
  </si>
  <si>
    <t>ÇSGB-BY4-İŞKUR-XXX</t>
  </si>
  <si>
    <t>Türkiye İş Kurumu Genel Müdürlüğü</t>
  </si>
  <si>
    <t>İŞKUR</t>
  </si>
  <si>
    <t>İşsizliği azaltmak ve istihdamı artırmak için iş arayanlara ve işverenlere destek hizmetleri sağlar. Mesleki eğitim kursları düzenler ve işsizlik ödeneği verir. Bağlı Birimler</t>
  </si>
  <si>
    <t>ÇSGB-BY4-İŞKUR-AİP</t>
  </si>
  <si>
    <t>Aktif İşgücü Programları Daire Başkanlığı</t>
  </si>
  <si>
    <t>AİP</t>
  </si>
  <si>
    <t>İşgücünü geliştiren programları ve destekleri sağlar.</t>
  </si>
  <si>
    <t>ÇSGB-BY4-İŞKUR-İMD</t>
  </si>
  <si>
    <t>İş ve Meslek Danışmanlığı Hizmetleri</t>
  </si>
  <si>
    <t>İMD</t>
  </si>
  <si>
    <t>İş arayanlara danışmanlık sağlar ve uygun işlerle eşleştirir.</t>
  </si>
  <si>
    <t>ÇSGB-BY4-İŞKUR-İSD</t>
  </si>
  <si>
    <t>İşsizlik Sigortası Daire Başkanlığı</t>
  </si>
  <si>
    <t>İSD</t>
  </si>
  <si>
    <t>İşsizlik ödeneği işlemlerini yürütür.</t>
  </si>
  <si>
    <t>ÇSGB-BY4-İŞKUR-MEB</t>
  </si>
  <si>
    <t>Mesleki Eğitim ve Beceri Geliştirme</t>
  </si>
  <si>
    <t>MEB</t>
  </si>
  <si>
    <t>Mesleki eğitim kursları düzenler, aktif işgücü programlarını yürütür.</t>
  </si>
  <si>
    <t>ÇSGB-BY4-İŞKUR-UİG</t>
  </si>
  <si>
    <t>Uluslararası İşgücü Genel Müdürlüğü</t>
  </si>
  <si>
    <t>UİG</t>
  </si>
  <si>
    <t>Uluslararası kuruluşlarla işbirliği süreçlerini yönetir.</t>
  </si>
  <si>
    <t>Seviye Ölçeği</t>
  </si>
  <si>
    <t>1-5</t>
  </si>
  <si>
    <t>Yetkinlik Kodu</t>
  </si>
  <si>
    <t>Ana Kategori</t>
  </si>
  <si>
    <t>Alt Kategori</t>
  </si>
  <si>
    <t>Yetkinlik Adı</t>
  </si>
  <si>
    <t>Tanım</t>
  </si>
  <si>
    <t>LY-STR-01</t>
  </si>
  <si>
    <t>Liderlik</t>
  </si>
  <si>
    <t>Stratejik</t>
  </si>
  <si>
    <t>Stratejik Liderlik</t>
  </si>
  <si>
    <t>Uzun vadeli yön belirleme ve kurumu hizalama</t>
  </si>
  <si>
    <t>LY-STR-02</t>
  </si>
  <si>
    <t>Vizyon Geliştirme</t>
  </si>
  <si>
    <t>Kurum için geleceğe dönük yön ve anlam oluşturma</t>
  </si>
  <si>
    <t>LY-STR-03</t>
  </si>
  <si>
    <t>Stratejik Önceliklendirme</t>
  </si>
  <si>
    <t>Kaynakları en kritik hedeflere yönlendirme</t>
  </si>
  <si>
    <t>LY-STR-04</t>
  </si>
  <si>
    <t>Makro Perspektif</t>
  </si>
  <si>
    <t>Ulusal ve küresel eğilimleri okuma</t>
  </si>
  <si>
    <t>LY-STR-05</t>
  </si>
  <si>
    <t>Stratejik Risk Yönetimi</t>
  </si>
  <si>
    <t>Uzun vadeli sistemik riskleri öngörme</t>
  </si>
  <si>
    <t>LY-STR-06</t>
  </si>
  <si>
    <t>Kurumsal Yön Belirleme</t>
  </si>
  <si>
    <t>Kurumun ana istikametini netleştirme</t>
  </si>
  <si>
    <t>LY-STR-07</t>
  </si>
  <si>
    <t>Stratejik Karar Verme</t>
  </si>
  <si>
    <t>Yüksek etkili ve uzun vadeli kararlar alma</t>
  </si>
  <si>
    <t>LY-STR-08</t>
  </si>
  <si>
    <t>Stratejik Hizalama</t>
  </si>
  <si>
    <t>Birimleri ortak hedeflere hizalama</t>
  </si>
  <si>
    <t>LY-DEG-01</t>
  </si>
  <si>
    <t>Değişim</t>
  </si>
  <si>
    <t>Değişim Yönetimi</t>
  </si>
  <si>
    <t>Organizasyonel değişimi planlama ve yürütme</t>
  </si>
  <si>
    <t>LY-DEG-02</t>
  </si>
  <si>
    <t>Organizasyonel Dönüşüm</t>
  </si>
  <si>
    <t>Kurumsal yapıyı yeni ihtiyaçlara göre dönüştürme</t>
  </si>
  <si>
    <t>LY-DEG-03</t>
  </si>
  <si>
    <t>Değişim İletişimi</t>
  </si>
  <si>
    <t>Değişimi açık ve ikna edici biçimde anlatma</t>
  </si>
  <si>
    <t>LY-DEG-04</t>
  </si>
  <si>
    <t>Direnç Yönetimi</t>
  </si>
  <si>
    <t>Değişime karşı oluşan direnci yönetme</t>
  </si>
  <si>
    <t>LY-DEG-05</t>
  </si>
  <si>
    <t>Kültürel Dönüşüm</t>
  </si>
  <si>
    <t>Kurumsal değer ve davranışları dönüştürme</t>
  </si>
  <si>
    <t>LY-DEG-06</t>
  </si>
  <si>
    <t>Dijital Dönüşüm Liderliği</t>
  </si>
  <si>
    <t>Dijitalleşme süreçlerine liderlik etme</t>
  </si>
  <si>
    <t>LY-DEG-07</t>
  </si>
  <si>
    <t>Çevik Organizasyon Kurma</t>
  </si>
  <si>
    <t>Çevik ve esnek çalışma yapıları oluşturma</t>
  </si>
  <si>
    <t>LY-DEG-08</t>
  </si>
  <si>
    <t>İnovasyon Yönetimi</t>
  </si>
  <si>
    <t>Yenilik üretim ve uygulama süreçlerini yönetme</t>
  </si>
  <si>
    <t>LY-TKM-01</t>
  </si>
  <si>
    <t>Takım</t>
  </si>
  <si>
    <t>Takım Kurma</t>
  </si>
  <si>
    <t>Yüksek performanslı ekip oluşturma</t>
  </si>
  <si>
    <t>LY-TKM-02</t>
  </si>
  <si>
    <t>Delegasyon</t>
  </si>
  <si>
    <t>Yetki ve sorumlulukları doğru kişilere devretme</t>
  </si>
  <si>
    <t>LY-TKM-03</t>
  </si>
  <si>
    <t>Koçluk</t>
  </si>
  <si>
    <t>Çalışanların gelişimini destekleme</t>
  </si>
  <si>
    <t>LY-TKM-04</t>
  </si>
  <si>
    <t>Mentorluk</t>
  </si>
  <si>
    <t>Deneyim ve kurumsal bilgi aktarımı sağlama</t>
  </si>
  <si>
    <t>LY-TKM-05</t>
  </si>
  <si>
    <t>Takım Motivasyonu</t>
  </si>
  <si>
    <t>Ekip bağlılığı ve motivasyonu oluşturma</t>
  </si>
  <si>
    <t>LY-TKM-06</t>
  </si>
  <si>
    <t>Çatışma Yönetimi</t>
  </si>
  <si>
    <t>Ekip içi görüş ayrılıklarını çözme</t>
  </si>
  <si>
    <t>LY-TKM-07</t>
  </si>
  <si>
    <t>Yetenek Geliştirme</t>
  </si>
  <si>
    <t>Potansiyel sahibi kişileri geliştirme</t>
  </si>
  <si>
    <t>LY-TKM-08</t>
  </si>
  <si>
    <t>Takım Performansı İzleme</t>
  </si>
  <si>
    <t>Takım hedef ve sonuçlarını izleme</t>
  </si>
  <si>
    <t>LY-KAR-01</t>
  </si>
  <si>
    <t>Karar</t>
  </si>
  <si>
    <t>Karar Alma</t>
  </si>
  <si>
    <t>Eksik bilgi altında tutarlı karar alma</t>
  </si>
  <si>
    <t>LY-KAR-02</t>
  </si>
  <si>
    <t>Belirsizlik Yönetimi</t>
  </si>
  <si>
    <t>Belirsiz koşullarda yön belirleme</t>
  </si>
  <si>
    <t>LY-KAR-03</t>
  </si>
  <si>
    <t>Kriz Kararı</t>
  </si>
  <si>
    <t>Zaman baskısı altında karar üretme</t>
  </si>
  <si>
    <t>LY-KAR-04</t>
  </si>
  <si>
    <t>Alternatif Analizi</t>
  </si>
  <si>
    <t>Seçenekleri sistematik karşılaştırma</t>
  </si>
  <si>
    <t>LY-KAR-05</t>
  </si>
  <si>
    <t>Öncelikli Karar Matrisi</t>
  </si>
  <si>
    <t>Kararları etki ve aciliyetle sıralama</t>
  </si>
  <si>
    <t>LY-KAR-06</t>
  </si>
  <si>
    <t>Politik Duyarlılık</t>
  </si>
  <si>
    <t>Kararların siyasi ve toplumsal etkisini okuma</t>
  </si>
  <si>
    <t>LY-KAR-07</t>
  </si>
  <si>
    <t>Etik Karar Verme</t>
  </si>
  <si>
    <t>Kararlarda kamu yararı ve etik ilkelere bağlılık</t>
  </si>
  <si>
    <t>LY-KAR-08</t>
  </si>
  <si>
    <t>Sonuç Sorumluluğu</t>
  </si>
  <si>
    <t>Kararların sonuçlarını sahiplenme</t>
  </si>
  <si>
    <t>LY-PRF-01</t>
  </si>
  <si>
    <t>Performans</t>
  </si>
  <si>
    <t>Performans Yönetimi</t>
  </si>
  <si>
    <t>Hedef ve sonuç odaklı yönetim kurma</t>
  </si>
  <si>
    <t>LY-PRF-02</t>
  </si>
  <si>
    <t>SBG Yönetimi</t>
  </si>
  <si>
    <t>Stratejik Başarı Göstergelerini belirleme ve izleme</t>
  </si>
  <si>
    <t>LY-PRF-03</t>
  </si>
  <si>
    <t>Hedef Kırılımı</t>
  </si>
  <si>
    <t>Üst hedefleri birim ve kişi hedeflerine indirme</t>
  </si>
  <si>
    <t>LY-PRF-04</t>
  </si>
  <si>
    <t>Geri Bildirim Yönetimi</t>
  </si>
  <si>
    <t>Yapıcı performans geri bildirimi verme</t>
  </si>
  <si>
    <t>LY-PRF-05</t>
  </si>
  <si>
    <t>Verimlilik Yönetimi</t>
  </si>
  <si>
    <t>Kaynakları verimli kullanma</t>
  </si>
  <si>
    <t>LY-PRF-06</t>
  </si>
  <si>
    <t>Sonuç Takibi</t>
  </si>
  <si>
    <t>Planlanan sonuçların gerçekleşmesini izleme</t>
  </si>
  <si>
    <t>LY-PRF-07</t>
  </si>
  <si>
    <t>Performans İyileştirme</t>
  </si>
  <si>
    <t>Düşük performans alanlarını geliştirme</t>
  </si>
  <si>
    <t>LY-PRF-08</t>
  </si>
  <si>
    <t>Hesap Verebilirlik</t>
  </si>
  <si>
    <t>Sonuçların izlenebilir ve açıklanabilir olmasını sağlama</t>
  </si>
  <si>
    <t>SP-POL-01</t>
  </si>
  <si>
    <t>Strateji</t>
  </si>
  <si>
    <t>Politika</t>
  </si>
  <si>
    <t>Politika Geliştirme</t>
  </si>
  <si>
    <t>Kamu politikası tasarlama ve geliştirme</t>
  </si>
  <si>
    <t>SP-POL-02</t>
  </si>
  <si>
    <t>Politika Analizi</t>
  </si>
  <si>
    <t>Politikaların amaç, araç ve sonuçlarını analiz etme</t>
  </si>
  <si>
    <t>SP-POL-03</t>
  </si>
  <si>
    <t>Etki Analizi</t>
  </si>
  <si>
    <t>Politika seçeneklerinin etkilerini ölçme</t>
  </si>
  <si>
    <t>SP-POL-04</t>
  </si>
  <si>
    <t>Veri Temelli Politika</t>
  </si>
  <si>
    <t>Veriye dayalı politika üretme</t>
  </si>
  <si>
    <t>SP-POL-05</t>
  </si>
  <si>
    <t>Politika Simülasyonu</t>
  </si>
  <si>
    <t>Politika sonuçlarını senaryo ile test etme</t>
  </si>
  <si>
    <t>SP-POL-06</t>
  </si>
  <si>
    <t>Kamu Yararı Analizi</t>
  </si>
  <si>
    <t>Kararların kamu yararı etkisini değerlendirme</t>
  </si>
  <si>
    <t>SP-POL-07</t>
  </si>
  <si>
    <t>Politika Uygulama Takibi</t>
  </si>
  <si>
    <t>Politika uygulamalarını sonuç bazlı izleme</t>
  </si>
  <si>
    <t>SP-POL-08</t>
  </si>
  <si>
    <t>Politika Revizyonu</t>
  </si>
  <si>
    <t>Politikaları sonuçlara göre güncelleme</t>
  </si>
  <si>
    <t>SP-PLN-01</t>
  </si>
  <si>
    <t>Planlama</t>
  </si>
  <si>
    <t>Stratejik Planlama</t>
  </si>
  <si>
    <t>Kurum ve programlar için stratejik plan hazırlama</t>
  </si>
  <si>
    <t>SP-PLN-02</t>
  </si>
  <si>
    <t>Senaryo Planlama</t>
  </si>
  <si>
    <t>Alternatif gelecek senaryoları geliştirme</t>
  </si>
  <si>
    <t>SP-PLN-03</t>
  </si>
  <si>
    <t>Program Tasarımı</t>
  </si>
  <si>
    <t>Çok bileşenli kamu programı kurma</t>
  </si>
  <si>
    <t>SP-PLN-04</t>
  </si>
  <si>
    <t>Kaynak Planlama</t>
  </si>
  <si>
    <t>Bütçe, insan ve zaman kaynağı planlama</t>
  </si>
  <si>
    <t>SP-PLN-05</t>
  </si>
  <si>
    <t>Yol Haritası Oluşturma</t>
  </si>
  <si>
    <t>Uygulama adımlarını zamanlamak</t>
  </si>
  <si>
    <t>SP-PLN-06</t>
  </si>
  <si>
    <t>Stratejik İzleme</t>
  </si>
  <si>
    <t>Plan gerçekleşmesini izleme</t>
  </si>
  <si>
    <t>SP-PLN-07</t>
  </si>
  <si>
    <t>Politika-Portföy Yönetimi</t>
  </si>
  <si>
    <t>Birden fazla politika alanını portföy olarak yönetme</t>
  </si>
  <si>
    <t>SP-PLN-08</t>
  </si>
  <si>
    <t>Kritik Yol Yönetimi</t>
  </si>
  <si>
    <t>Programın kritik bağımlılıklarını yönetme</t>
  </si>
  <si>
    <t>SP-REG-01</t>
  </si>
  <si>
    <t>Regülasyon</t>
  </si>
  <si>
    <t>Regülasyon Tasarımı</t>
  </si>
  <si>
    <t>Düzenleyici çerçeve oluşturma</t>
  </si>
  <si>
    <t>SP-REG-02</t>
  </si>
  <si>
    <t>Mevzuat Analizi</t>
  </si>
  <si>
    <t>Mevzuatın etki ve tutarlılığını analiz etme</t>
  </si>
  <si>
    <t>SP-REG-03</t>
  </si>
  <si>
    <t>Düzenleyici Etki Analizi</t>
  </si>
  <si>
    <t>Regülasyon maliyet ve faydasını ölçme</t>
  </si>
  <si>
    <t>SP-REG-04</t>
  </si>
  <si>
    <t>Uyum Yönetimi</t>
  </si>
  <si>
    <t>Kurumların mevzuata uyumunu sağlama</t>
  </si>
  <si>
    <t>SP-REG-05</t>
  </si>
  <si>
    <t>Norm Hiyerarşisi Okuryazarlığı</t>
  </si>
  <si>
    <t>Kanun, yönetmelik ve ikincil düzenlemeleri ayırt etme</t>
  </si>
  <si>
    <t>SP-REG-06</t>
  </si>
  <si>
    <t>Kamu Danışma Süreci</t>
  </si>
  <si>
    <t>Paydaş görüş alma süreçlerini yönetme</t>
  </si>
  <si>
    <t>SP-REG-07</t>
  </si>
  <si>
    <t>Deregülasyon Analizi</t>
  </si>
  <si>
    <t>Gereksiz düzenlemeleri sadeleştirme</t>
  </si>
  <si>
    <t>SP-REG-08</t>
  </si>
  <si>
    <t>Uygulama Rehberi Hazırlama</t>
  </si>
  <si>
    <t>Mevzuatın uygulanması için rehber hazırlama</t>
  </si>
  <si>
    <t>SP-PAY-01</t>
  </si>
  <si>
    <t>Paydaş</t>
  </si>
  <si>
    <t>Paydaş Yönetimi</t>
  </si>
  <si>
    <t>Kritik iç ve dış paydaşları yönetme</t>
  </si>
  <si>
    <t>SP-PAY-02</t>
  </si>
  <si>
    <t>Kurumsal Koordinasyon</t>
  </si>
  <si>
    <t>Birimler arası koordinasyon sağlama</t>
  </si>
  <si>
    <t>SP-PAY-03</t>
  </si>
  <si>
    <t>Müzakere</t>
  </si>
  <si>
    <t>Çok taraflı pazarlık ve uzlaşma yürütme</t>
  </si>
  <si>
    <t>SP-PAY-04</t>
  </si>
  <si>
    <t>Kamu İletişimi</t>
  </si>
  <si>
    <t>Kamuoyuna açık, doğru ve güven verici iletişim kurma</t>
  </si>
  <si>
    <t>SP-PAY-05</t>
  </si>
  <si>
    <t>Sosyal Diyalog</t>
  </si>
  <si>
    <t>Sendika, işveren ve toplum paydaşlarıyla diyalog yürütme</t>
  </si>
  <si>
    <t>SP-PAY-06</t>
  </si>
  <si>
    <t>Uluslararası Koordinasyon</t>
  </si>
  <si>
    <t>Yabancı kurumlar ve uluslararası kuruluşlarla çalışma</t>
  </si>
  <si>
    <t>SP-PAY-07</t>
  </si>
  <si>
    <t>Kriz İletişimi</t>
  </si>
  <si>
    <t>Kriz dönemlerinde bilgi akışını yönetme</t>
  </si>
  <si>
    <t>SP-PAY-08</t>
  </si>
  <si>
    <t>İtibar Yönetimi</t>
  </si>
  <si>
    <t>Kurumun güven ve itibarını koruma</t>
  </si>
  <si>
    <t>OF-PRJ-01</t>
  </si>
  <si>
    <t>Operasyon</t>
  </si>
  <si>
    <t>Proje</t>
  </si>
  <si>
    <t>Proje Yönetimi</t>
  </si>
  <si>
    <t>Projeleri kapsam, zaman, maliyet ve kaliteyle yönetme</t>
  </si>
  <si>
    <t>OF-PRJ-02</t>
  </si>
  <si>
    <t>Zaman Yönetimi</t>
  </si>
  <si>
    <t>İşleri gerçekçi takvimle yürütme</t>
  </si>
  <si>
    <t>OF-PRJ-03</t>
  </si>
  <si>
    <t>Kaynak Yönetimi</t>
  </si>
  <si>
    <t>İnsan, bütçe ve ekipman kaynaklarını yönetme</t>
  </si>
  <si>
    <t>OF-PRJ-04</t>
  </si>
  <si>
    <t>Proje Risk Yönetimi</t>
  </si>
  <si>
    <t>Proje risklerini tanımlama ve azaltma</t>
  </si>
  <si>
    <t>OF-PRJ-05</t>
  </si>
  <si>
    <t>Proje İzleme</t>
  </si>
  <si>
    <t>Proje ilerlemesini ölçme</t>
  </si>
  <si>
    <t>OF-PRJ-06</t>
  </si>
  <si>
    <t>Proje Raporlama</t>
  </si>
  <si>
    <t>Proje durumunu karar vericilere raporlama</t>
  </si>
  <si>
    <t>OF-PRJ-07</t>
  </si>
  <si>
    <t>Proje Kapanış Yönetimi</t>
  </si>
  <si>
    <t>Projeleri ders çıkararak kapatma</t>
  </si>
  <si>
    <t>OF-PRJ-08</t>
  </si>
  <si>
    <t>Çoklu Proje Koordinasyonu</t>
  </si>
  <si>
    <t>Birden fazla projeyi eş zamanlı yönetme</t>
  </si>
  <si>
    <t>OF-SUR-01</t>
  </si>
  <si>
    <t>Süreç</t>
  </si>
  <si>
    <t>Süreç Yönetimi</t>
  </si>
  <si>
    <t>İş süreçlerini tasarlama ve iyileştirme</t>
  </si>
  <si>
    <t>OF-SUR-02</t>
  </si>
  <si>
    <t>Süreç Haritalama</t>
  </si>
  <si>
    <t>Süreç adımlarını görselleştirme</t>
  </si>
  <si>
    <t>OF-SUR-03</t>
  </si>
  <si>
    <t>Süreç İyileştirme</t>
  </si>
  <si>
    <t>Verimlilik ve kaliteyi artırma</t>
  </si>
  <si>
    <t>OF-SUR-04</t>
  </si>
  <si>
    <t>Standart Operasyon Prosedürü</t>
  </si>
  <si>
    <t>Standart iş akışları oluşturma</t>
  </si>
  <si>
    <t>OF-SUR-05</t>
  </si>
  <si>
    <t>Hizmet Seviyesi Yönetimi</t>
  </si>
  <si>
    <t>Hizmet kalite ve süre hedeflerini yönetme</t>
  </si>
  <si>
    <t>OF-SUR-06</t>
  </si>
  <si>
    <t>Operasyonel Risk Yönetimi</t>
  </si>
  <si>
    <t>Günlük operasyon risklerini azaltma</t>
  </si>
  <si>
    <t>OF-SUR-07</t>
  </si>
  <si>
    <t>İş Sürekliliği</t>
  </si>
  <si>
    <t>Kritik hizmetlerin kesintisizliğini sağlama</t>
  </si>
  <si>
    <t>OF-SUR-08</t>
  </si>
  <si>
    <t>Kalite Yönetimi</t>
  </si>
  <si>
    <t>Kalite standartlarını uygulama</t>
  </si>
  <si>
    <t>OF-IHL-01</t>
  </si>
  <si>
    <t>İhale</t>
  </si>
  <si>
    <t>İhale Yönetimi</t>
  </si>
  <si>
    <t>Kamu ihale süreçlerini yönetme</t>
  </si>
  <si>
    <t>OF-IHL-02</t>
  </si>
  <si>
    <t>Satın Alma Planlama</t>
  </si>
  <si>
    <t>Satın alma ihtiyaçlarını planlama</t>
  </si>
  <si>
    <t>OF-IHL-03</t>
  </si>
  <si>
    <t>Teknik Şartname Hazırlama</t>
  </si>
  <si>
    <t>İhtiyaca uygun teknik şartname oluşturma</t>
  </si>
  <si>
    <t>OF-IHL-04</t>
  </si>
  <si>
    <t>Sözleşme Yönetimi</t>
  </si>
  <si>
    <t>Sözleşme yaşam döngüsünü yönetme</t>
  </si>
  <si>
    <t>OF-IHL-05</t>
  </si>
  <si>
    <t>Tedarikçi Yönetimi</t>
  </si>
  <si>
    <t>Tedarikçi performansını izleme</t>
  </si>
  <si>
    <t>OF-IHL-06</t>
  </si>
  <si>
    <t>Maliyet Kontrol</t>
  </si>
  <si>
    <t>Satın almada maliyet etkinliği sağlama</t>
  </si>
  <si>
    <t>OF-IHL-07</t>
  </si>
  <si>
    <t>İhale Uyum Kontrolü</t>
  </si>
  <si>
    <t>İhale mevzuatına uyumu kontrol etme</t>
  </si>
  <si>
    <t>OF-IHL-08</t>
  </si>
  <si>
    <t>Piyasa Araştırması</t>
  </si>
  <si>
    <t>Satın alma öncesi pazar koşullarını analiz etme</t>
  </si>
  <si>
    <t>OF-DEN-01</t>
  </si>
  <si>
    <t>Denetim</t>
  </si>
  <si>
    <t>Denetim Planlama</t>
  </si>
  <si>
    <t>Denetim alan ve takvimini planlama</t>
  </si>
  <si>
    <t>OF-DEN-02</t>
  </si>
  <si>
    <t>Risk Bazlı Denetim</t>
  </si>
  <si>
    <t>Denetimi risk önceliğine göre kurgulama</t>
  </si>
  <si>
    <t>OF-DEN-03</t>
  </si>
  <si>
    <t>Bulgulama</t>
  </si>
  <si>
    <t>Denetimde kanıta dayalı bulgu üretme</t>
  </si>
  <si>
    <t>OF-DEN-04</t>
  </si>
  <si>
    <t>Uygunsuzluk Analizi</t>
  </si>
  <si>
    <t>Mevzuat ve süreç sapmalarını analiz etme</t>
  </si>
  <si>
    <t>OF-DEN-05</t>
  </si>
  <si>
    <t>Düzeltici Faaliyet Takibi</t>
  </si>
  <si>
    <t>Bulguların giderilmesini izleme</t>
  </si>
  <si>
    <t>OF-DEN-06</t>
  </si>
  <si>
    <t>İç Denetim</t>
  </si>
  <si>
    <t>Kurum içi denetim faaliyetlerini yürütme</t>
  </si>
  <si>
    <t>OF-DEN-07</t>
  </si>
  <si>
    <t>Teftiş Yönetimi</t>
  </si>
  <si>
    <t>Teftiş ve inceleme süreçlerini yönetme</t>
  </si>
  <si>
    <t>OF-DEN-08</t>
  </si>
  <si>
    <t>Denetim Raporlama</t>
  </si>
  <si>
    <t>Denetim sonuçlarını açık raporlama</t>
  </si>
  <si>
    <t>OF-HIZ-01</t>
  </si>
  <si>
    <t>Hizmet</t>
  </si>
  <si>
    <t>Hizmet Tasarımı</t>
  </si>
  <si>
    <t>Kamu hizmetlerini kullanıcı odaklı tasarlama</t>
  </si>
  <si>
    <t>OF-HIZ-02</t>
  </si>
  <si>
    <t>Vatandaş Deneyimi</t>
  </si>
  <si>
    <t>Vatandaş temas noktalarını iyileştirme</t>
  </si>
  <si>
    <t>OF-HIZ-03</t>
  </si>
  <si>
    <t>Başvuru Yönetimi</t>
  </si>
  <si>
    <t>Başvuru ve talep süreçlerini yönetme</t>
  </si>
  <si>
    <t>OF-HIZ-04</t>
  </si>
  <si>
    <t>Şikayet Yönetimi</t>
  </si>
  <si>
    <t>Şikayetleri çözüm ve öğrenme aracına dönüştürme</t>
  </si>
  <si>
    <t>OF-HIZ-05</t>
  </si>
  <si>
    <t>Çağrı ve Destek Hizmetleri</t>
  </si>
  <si>
    <t>Destek kanallarını yönetme</t>
  </si>
  <si>
    <t>OF-HIZ-06</t>
  </si>
  <si>
    <t>Saha Hizmetleri Koordinasyonu</t>
  </si>
  <si>
    <t>Taşra ve saha uygulamalarını koordine etme</t>
  </si>
  <si>
    <t>OF-HIZ-07</t>
  </si>
  <si>
    <t>Hizmet Kalitesi Ölçümü</t>
  </si>
  <si>
    <t>Hizmet kalitesini ölçme</t>
  </si>
  <si>
    <t>OF-HIZ-08</t>
  </si>
  <si>
    <t>Kullanıcı Yolculuğu Analizi</t>
  </si>
  <si>
    <t>Kullanıcı deneyimi adımlarını analiz etme</t>
  </si>
  <si>
    <t>DA-DAT-01</t>
  </si>
  <si>
    <t>Dijital</t>
  </si>
  <si>
    <t>Veri</t>
  </si>
  <si>
    <t>Veri Analitiği</t>
  </si>
  <si>
    <t>Veriden anlamlı sonuç çıkarma</t>
  </si>
  <si>
    <t>DA-DAT-02</t>
  </si>
  <si>
    <t>Veri Modelleme</t>
  </si>
  <si>
    <t>Veri ilişkileri ve modelleri kurma</t>
  </si>
  <si>
    <t>DA-DAT-03</t>
  </si>
  <si>
    <t>Veri Görselleştirme</t>
  </si>
  <si>
    <t>Dashboard ve rapor tasarlama</t>
  </si>
  <si>
    <t>DA-DAT-04</t>
  </si>
  <si>
    <t>Veri Yönetişimi</t>
  </si>
  <si>
    <t>Veri sahipliği ve kalite kuralları koyma</t>
  </si>
  <si>
    <t>DA-DAT-05</t>
  </si>
  <si>
    <t>Veri Kalitesi</t>
  </si>
  <si>
    <t>Verinin doğruluk, bütünlük ve güncelliğini sağlama</t>
  </si>
  <si>
    <t>DA-DAT-06</t>
  </si>
  <si>
    <t>İstatistiksel Analiz</t>
  </si>
  <si>
    <t>Temel istatistiksel yöntemleri kullanma</t>
  </si>
  <si>
    <t>DA-DAT-07</t>
  </si>
  <si>
    <t>Tahminleme</t>
  </si>
  <si>
    <t>Gelecek eğilimlerini veriyle öngörme</t>
  </si>
  <si>
    <t>DA-DAT-08</t>
  </si>
  <si>
    <t>Analitik Karar Destek</t>
  </si>
  <si>
    <t>Karar süreçlerinde analitik çıktı kullanma</t>
  </si>
  <si>
    <t>DA-YZK-01</t>
  </si>
  <si>
    <t>YZ</t>
  </si>
  <si>
    <t>YZ Okuryazarlığı</t>
  </si>
  <si>
    <t>YZ araç ve kavramlarını doğru anlama</t>
  </si>
  <si>
    <t>DA-YZK-02</t>
  </si>
  <si>
    <t>YZ Destekli Karar</t>
  </si>
  <si>
    <t>YZ çıktısını karar süreçlerinde değerlendirme</t>
  </si>
  <si>
    <t>DA-YZK-03</t>
  </si>
  <si>
    <t>Prompt Tasarımı</t>
  </si>
  <si>
    <t>YZ sistemlerinden doğru çıktı alma</t>
  </si>
  <si>
    <t>DA-YZK-04</t>
  </si>
  <si>
    <t>YZ Risk Farkındalığı</t>
  </si>
  <si>
    <t>Hata, önyargı ve halüsinasyon risklerini tanıma</t>
  </si>
  <si>
    <t>DA-YZK-05</t>
  </si>
  <si>
    <t>YZ Etik Yönetimi</t>
  </si>
  <si>
    <t>YZ kullanımında etik ve hukuk sınırlarını gözetme</t>
  </si>
  <si>
    <t>DA-YZK-06</t>
  </si>
  <si>
    <t>YZ Otomasyon Tasarımı</t>
  </si>
  <si>
    <t>İş süreçlerini YZ ile otomasyona uygun tasarlama</t>
  </si>
  <si>
    <t>DA-YZK-07</t>
  </si>
  <si>
    <t>Model Değerlendirme</t>
  </si>
  <si>
    <t>YZ model çıktılarını kalite ve güven açısından değerlendirme</t>
  </si>
  <si>
    <t>DA-YZK-08</t>
  </si>
  <si>
    <t>İnsan-YZ İşbirliği</t>
  </si>
  <si>
    <t>İnsan ve YZ rollerini doğru ayırma</t>
  </si>
  <si>
    <t>DA-SBR-01</t>
  </si>
  <si>
    <t>Siber</t>
  </si>
  <si>
    <t>Siber Güvenlik Yönetimi</t>
  </si>
  <si>
    <t>Kurum siber güvenlik çerçevesini yönetme</t>
  </si>
  <si>
    <t>DA-SBR-02</t>
  </si>
  <si>
    <t>Bilgi Güvenliği Politikası</t>
  </si>
  <si>
    <t>Bilgi güvenliği politika ve kurallarını oluşturma</t>
  </si>
  <si>
    <t>DA-SBR-03</t>
  </si>
  <si>
    <t>KVKK ve Veri Mahremiyeti</t>
  </si>
  <si>
    <t>Kişisel veri koruma ilkelerini uygulama</t>
  </si>
  <si>
    <t>DA-SBR-04</t>
  </si>
  <si>
    <t>Erişim Yetkisi Yönetimi</t>
  </si>
  <si>
    <t>Yetkilendirme ve erişim kontrollerini yönetme</t>
  </si>
  <si>
    <t>DA-SBR-05</t>
  </si>
  <si>
    <t>Olay Müdahale</t>
  </si>
  <si>
    <t>Siber olaylara müdahale süreci yürütme</t>
  </si>
  <si>
    <t>DA-SBR-06</t>
  </si>
  <si>
    <t>Siber Risk Analizi</t>
  </si>
  <si>
    <t>Siber riskleri tanımlama ve önceliklendirme</t>
  </si>
  <si>
    <t>DA-SBR-07</t>
  </si>
  <si>
    <t>Güvenli Yazılım Farkındalığı</t>
  </si>
  <si>
    <t>Yazılım süreçlerinde güvenlik ihtiyaçlarını anlama</t>
  </si>
  <si>
    <t>DA-SBR-08</t>
  </si>
  <si>
    <t>İş Sürekliliği ve Felaket Kurtarma</t>
  </si>
  <si>
    <t>Dijital sistem kesintilerine hazırlık yapma</t>
  </si>
  <si>
    <t>DA-SYS-01</t>
  </si>
  <si>
    <t>Sistem</t>
  </si>
  <si>
    <t>Bilgi Sistemleri Yönetimi</t>
  </si>
  <si>
    <t>Kurumsal bilgi sistemlerini yönetme</t>
  </si>
  <si>
    <t>DA-SYS-02</t>
  </si>
  <si>
    <t>Altyapı Yönetimi</t>
  </si>
  <si>
    <t>Sunucu, ağ ve veri tabanı altyapısını yönetme</t>
  </si>
  <si>
    <t>DA-SYS-03</t>
  </si>
  <si>
    <t>Yazılım Geliştirme Yönetimi</t>
  </si>
  <si>
    <t>Yazılım yaşam döngüsünü yönetme</t>
  </si>
  <si>
    <t>DA-SYS-04</t>
  </si>
  <si>
    <t>Entegrasyon Yönetimi</t>
  </si>
  <si>
    <t>Sistemler arası veri ve süreç entegrasyonu sağlama</t>
  </si>
  <si>
    <t>DA-SYS-05</t>
  </si>
  <si>
    <t>BT Proje Yönetimi</t>
  </si>
  <si>
    <t>Teknoloji projelerini yönetme</t>
  </si>
  <si>
    <t>DA-SYS-06</t>
  </si>
  <si>
    <t>Kullanıcı Destek Yönetimi</t>
  </si>
  <si>
    <t>Kullanıcı sorun ve taleplerini yönetme</t>
  </si>
  <si>
    <t>DA-SYS-07</t>
  </si>
  <si>
    <t>BT Hizmet Yönetimi</t>
  </si>
  <si>
    <t>BT hizmetlerini SLA ve süreçlerle yönetme</t>
  </si>
  <si>
    <t>DA-SYS-08</t>
  </si>
  <si>
    <t>Teknoloji Mimari Yönetimi</t>
  </si>
  <si>
    <t>Kurumsal teknoloji mimarisini planlama</t>
  </si>
  <si>
    <t>DA-DTR-01</t>
  </si>
  <si>
    <t>Dönüşüm</t>
  </si>
  <si>
    <t>Dijital Dönüşüm Yönetimi</t>
  </si>
  <si>
    <t>Kurumun dijital dönüşümünü yönetme</t>
  </si>
  <si>
    <t>DA-DTR-02</t>
  </si>
  <si>
    <t>Süreç Otomasyonu</t>
  </si>
  <si>
    <t>Manuel süreçleri dijital otomasyona taşıma</t>
  </si>
  <si>
    <t>DA-DTR-03</t>
  </si>
  <si>
    <t>RPA Farkındalığı</t>
  </si>
  <si>
    <t>Robotik süreç otomasyonu kullanım alanlarını belirleme</t>
  </si>
  <si>
    <t>DA-DTR-04</t>
  </si>
  <si>
    <t>Dijital Hizmet Tasarımı</t>
  </si>
  <si>
    <t>Dijital kamu hizmeti tasarlama</t>
  </si>
  <si>
    <t>DA-DTR-05</t>
  </si>
  <si>
    <t>Dijital Olgunluk Analizi</t>
  </si>
  <si>
    <t>Kurumun dijital olgunluğunu değerlendirme</t>
  </si>
  <si>
    <t>DA-DTR-06</t>
  </si>
  <si>
    <t>Ürün Sahipliği</t>
  </si>
  <si>
    <t>Dijital ürün ihtiyaç ve önceliklerini yönetme</t>
  </si>
  <si>
    <t>DA-DTR-07</t>
  </si>
  <si>
    <t>Çevik Dijital Proje</t>
  </si>
  <si>
    <t>Dijital projeleri çevik yöntemlerle yürütme</t>
  </si>
  <si>
    <t>DA-DTR-08</t>
  </si>
  <si>
    <t>Dijital Benimsetme</t>
  </si>
  <si>
    <t>Dijital çözümlerin kurumda kullanılmasını sağlama</t>
  </si>
  <si>
    <t>DB-COG-01</t>
  </si>
  <si>
    <t>Davranış</t>
  </si>
  <si>
    <t>Bilişsel</t>
  </si>
  <si>
    <t>Analitik Düşünme</t>
  </si>
  <si>
    <t>Veri ve kanıta dayalı düşünme</t>
  </si>
  <si>
    <t>DB-COG-02</t>
  </si>
  <si>
    <t>Eleştirel Düşünme</t>
  </si>
  <si>
    <t>Varsayımları sorgulama ve tutarlılık arama</t>
  </si>
  <si>
    <t>DB-COG-03</t>
  </si>
  <si>
    <t>Problem Çözme</t>
  </si>
  <si>
    <t>Sorunları kök nedenleriyle çözme</t>
  </si>
  <si>
    <t>DB-COG-04</t>
  </si>
  <si>
    <t>Sistem Düşüncesi</t>
  </si>
  <si>
    <t>Parça-bütün ilişkisini kurma</t>
  </si>
  <si>
    <t>DB-COG-05</t>
  </si>
  <si>
    <t>Öğrenme Çevikliği</t>
  </si>
  <si>
    <t>Yeni konuları hızlı öğrenme</t>
  </si>
  <si>
    <t>DB-COG-06</t>
  </si>
  <si>
    <t>Yaratıcılık</t>
  </si>
  <si>
    <t>Yeni yaklaşım ve çözüm geliştirme</t>
  </si>
  <si>
    <t>DB-COG-07</t>
  </si>
  <si>
    <t>Odaklanma</t>
  </si>
  <si>
    <t>Dikkati öncelikli işe yöneltme</t>
  </si>
  <si>
    <t>DB-COG-08</t>
  </si>
  <si>
    <t>Karmaşıklık Yönetimi</t>
  </si>
  <si>
    <t>Çok değişkenli konuları sadeleştirme</t>
  </si>
  <si>
    <t>DB-SOS-01</t>
  </si>
  <si>
    <t>Sosyal</t>
  </si>
  <si>
    <t>Empati</t>
  </si>
  <si>
    <t>Karşı tarafın ihtiyaç ve duygularını anlama</t>
  </si>
  <si>
    <t>DB-SOS-02</t>
  </si>
  <si>
    <t>Duygusal Zekâ</t>
  </si>
  <si>
    <t>Duygu ve ilişki dinamiklerini yönetme</t>
  </si>
  <si>
    <t>DB-SOS-03</t>
  </si>
  <si>
    <t>Sosyal Zekâ</t>
  </si>
  <si>
    <t>Sosyal ortamları ve güç ilişkilerini okuma</t>
  </si>
  <si>
    <t>DB-SOS-04</t>
  </si>
  <si>
    <t>Kültürel Zekâ</t>
  </si>
  <si>
    <t>Farklı kültürel bağlamlarda etkili çalışma</t>
  </si>
  <si>
    <t>DB-SOS-05</t>
  </si>
  <si>
    <t>İşbirliği</t>
  </si>
  <si>
    <t>Ortak amaç için birlikte çalışma</t>
  </si>
  <si>
    <t>DB-SOS-06</t>
  </si>
  <si>
    <t>Güven İnşası</t>
  </si>
  <si>
    <t>Paydaşlarda güven oluşturma</t>
  </si>
  <si>
    <t>DB-SOS-07</t>
  </si>
  <si>
    <t>Dinleme</t>
  </si>
  <si>
    <t>Aktif ve anlamaya dönük dinleme</t>
  </si>
  <si>
    <t>DB-SOS-08</t>
  </si>
  <si>
    <t>Çatışmada Sakinlik</t>
  </si>
  <si>
    <t>Gerilim anlarında dengeyi koruma</t>
  </si>
  <si>
    <t>DB-ETK-01</t>
  </si>
  <si>
    <t>Etik</t>
  </si>
  <si>
    <t>Etik Duyarlılık</t>
  </si>
  <si>
    <t>Etik riskleri fark etme</t>
  </si>
  <si>
    <t>DB-ETK-02</t>
  </si>
  <si>
    <t>Kamu Yararı Odaklılık</t>
  </si>
  <si>
    <t>Kişisel veya grup çıkarı yerine kamu yararını önceleme</t>
  </si>
  <si>
    <t>DB-ETK-03</t>
  </si>
  <si>
    <t>Tarafsızlık</t>
  </si>
  <si>
    <t>Kararlarda objektif ve adil davranma</t>
  </si>
  <si>
    <t>DB-ETK-04</t>
  </si>
  <si>
    <t>Şeffaflık</t>
  </si>
  <si>
    <t>Süreç ve kararları izlenebilir kılma</t>
  </si>
  <si>
    <t>DB-ETK-05</t>
  </si>
  <si>
    <t>Gizlilik Bilinci</t>
  </si>
  <si>
    <t>Hassas bilgileri koruma</t>
  </si>
  <si>
    <t>DB-ETK-06</t>
  </si>
  <si>
    <t>Çıkar Çatışması Yönetimi</t>
  </si>
  <si>
    <t>Olası çıkar çatışmalarını önleme</t>
  </si>
  <si>
    <t>DB-ETK-07</t>
  </si>
  <si>
    <t>Hesap Verebilirlik Etiği</t>
  </si>
  <si>
    <t>Karar ve işlemlerden sorumluluk alma</t>
  </si>
  <si>
    <t>DB-ETK-08</t>
  </si>
  <si>
    <t>Kamu Değerleri</t>
  </si>
  <si>
    <t>Kamu hizmeti değerlerini içselleştirme</t>
  </si>
  <si>
    <t>KY-HRK-01</t>
  </si>
  <si>
    <t>Kamu</t>
  </si>
  <si>
    <t>İnsan Kaynakları</t>
  </si>
  <si>
    <t>Kamu Personel Rejimi</t>
  </si>
  <si>
    <t>Kamu personel mevzuatı ve rejimini anlama</t>
  </si>
  <si>
    <t>KY-HRK-02</t>
  </si>
  <si>
    <t>Atama ve Kadro Yönetimi</t>
  </si>
  <si>
    <t>Atama, nakil ve kadro süreçlerini yönetme</t>
  </si>
  <si>
    <t>KY-HRK-03</t>
  </si>
  <si>
    <t>Kamu Performans Sistemi</t>
  </si>
  <si>
    <t>Kamu çalışan performansını yönetme</t>
  </si>
  <si>
    <t>KY-HRK-04</t>
  </si>
  <si>
    <t>Üst Düzey Yönetici Seçimi</t>
  </si>
  <si>
    <t>Üst kademe görevler için seçim modeli kurma</t>
  </si>
  <si>
    <t>KY-HRK-05</t>
  </si>
  <si>
    <t>Yetenek Yönetimi</t>
  </si>
  <si>
    <t>Kamu için yetenek havuzu oluşturma</t>
  </si>
  <si>
    <t>KY-HRK-06</t>
  </si>
  <si>
    <t>Eğitim ve Gelişim</t>
  </si>
  <si>
    <t>Hizmet içi eğitim ve gelişim programları tasarlama</t>
  </si>
  <si>
    <t>KY-HRK-07</t>
  </si>
  <si>
    <t>Disiplin Süreçleri</t>
  </si>
  <si>
    <t>Disiplin ve sicil süreçlerini mevzuata uygun yürütme</t>
  </si>
  <si>
    <t>KY-HRK-08</t>
  </si>
  <si>
    <t>Sendika ve Çalışma İlişkileri</t>
  </si>
  <si>
    <t>Sendikalar ve çalışma ilişkileri süreçlerini yönetme</t>
  </si>
  <si>
    <t>KY-FIN-01</t>
  </si>
  <si>
    <t>Mali</t>
  </si>
  <si>
    <t>Bütçe Yönetimi</t>
  </si>
  <si>
    <t>Kamu bütçesini planlama, uygulama ve izleme</t>
  </si>
  <si>
    <t>KY-FIN-02</t>
  </si>
  <si>
    <t>Kamu Bütçe Okuryazarlığı</t>
  </si>
  <si>
    <t>Kamu bütçe sistemini ve süreçlerini anlama</t>
  </si>
  <si>
    <t>KY-FIN-03</t>
  </si>
  <si>
    <t>Performans Bazlı Bütçe</t>
  </si>
  <si>
    <t>Hedef ve SBG bazlı bütçe kurgulama</t>
  </si>
  <si>
    <t>KY-FIN-04</t>
  </si>
  <si>
    <t>Mali Analiz</t>
  </si>
  <si>
    <t>Mali verileri analiz edip karar desteğine dönüştürme</t>
  </si>
  <si>
    <t>KY-FIN-05</t>
  </si>
  <si>
    <t>İç Kontrol</t>
  </si>
  <si>
    <t>Mali ve idari iç kontrol sistemleri kurma</t>
  </si>
  <si>
    <t>KY-FIN-06</t>
  </si>
  <si>
    <t>Kamu Denetimi</t>
  </si>
  <si>
    <t>Kamu kaynak kullanımını denetim mantığıyla değerlendirme</t>
  </si>
  <si>
    <t>KY-FIN-07</t>
  </si>
  <si>
    <t>Fon Yönetimi</t>
  </si>
  <si>
    <t>Fon ve kaynak yönetimi prensiplerini uygulama</t>
  </si>
  <si>
    <t>KY-FIN-08</t>
  </si>
  <si>
    <t>Maliyet-Fayda Analizi</t>
  </si>
  <si>
    <t>Kamu harcamalarında maliyet ve faydayı karşılaştırma</t>
  </si>
  <si>
    <t>KY-HUK-01</t>
  </si>
  <si>
    <t>Hukuk</t>
  </si>
  <si>
    <t>İdare Hukuku Okuryazarlığı</t>
  </si>
  <si>
    <t>İdari işlem ve kararların hukuki sınırlarını anlama</t>
  </si>
  <si>
    <t>KY-HUK-02</t>
  </si>
  <si>
    <t>Mevzuat Hazırlama</t>
  </si>
  <si>
    <t>Kanun ve ikincil mevzuat taslağı hazırlama</t>
  </si>
  <si>
    <t>KY-HUK-03</t>
  </si>
  <si>
    <t>Hukuki Risk Analizi</t>
  </si>
  <si>
    <t>Kararların hukuki risklerini değerlendirme</t>
  </si>
  <si>
    <t>KY-HUK-04</t>
  </si>
  <si>
    <t>Dava ve İcra Süreci</t>
  </si>
  <si>
    <t>Kamu dava ve icra süreçlerini yönetme</t>
  </si>
  <si>
    <t>KY-HUK-05</t>
  </si>
  <si>
    <t>Sözleşme Hukuku</t>
  </si>
  <si>
    <t>Kamu sözleşmelerinin hukuki yapısını değerlendirme</t>
  </si>
  <si>
    <t>KY-HUK-06</t>
  </si>
  <si>
    <t>Uyum ve Denetim Hukuku</t>
  </si>
  <si>
    <t>Uyum yükümlülüklerini hukuki çerçevede izleme</t>
  </si>
  <si>
    <t>KY-HUK-07</t>
  </si>
  <si>
    <t>İnsan Hakları ve Kamu Etiği</t>
  </si>
  <si>
    <t>Kamu işlemlerinde hak temelli yaklaşımı gözetme</t>
  </si>
  <si>
    <t>KY-HUK-08</t>
  </si>
  <si>
    <t>Karar Gerekçelendirme</t>
  </si>
  <si>
    <t>İdari kararları hukuken gerekçelendirme</t>
  </si>
  <si>
    <t>KY-SGK-01</t>
  </si>
  <si>
    <t>Sosyal Güvenlik</t>
  </si>
  <si>
    <t>Sosyal Güvenlik Sistemi</t>
  </si>
  <si>
    <t>Sosyal güvenlik mimarisini anlama</t>
  </si>
  <si>
    <t>KY-SGK-02</t>
  </si>
  <si>
    <t>Aktüeryal Analiz</t>
  </si>
  <si>
    <t>Sosyal güvenlik sürdürülebilirliğini hesaplama</t>
  </si>
  <si>
    <t>KY-SGK-03</t>
  </si>
  <si>
    <t>Emeklilik Hizmetleri</t>
  </si>
  <si>
    <t>Emeklilik süreç ve mevzuatını yönetme</t>
  </si>
  <si>
    <t>KY-SGK-04</t>
  </si>
  <si>
    <t>Genel Sağlık Sigortası</t>
  </si>
  <si>
    <t>GSS politika ve ödeme süreçlerini yönetme</t>
  </si>
  <si>
    <t>KY-SGK-05</t>
  </si>
  <si>
    <t>Prim Tahsilatı</t>
  </si>
  <si>
    <t>Prim tahsilat ve yapılandırma süreçlerini izleme</t>
  </si>
  <si>
    <t>KY-SGK-06</t>
  </si>
  <si>
    <t>Hizmet Sunumu</t>
  </si>
  <si>
    <t>SGK hizmet kanallarını yönetme</t>
  </si>
  <si>
    <t>KY-SGK-07</t>
  </si>
  <si>
    <t>Sağlık Harcaması Denetimi</t>
  </si>
  <si>
    <t>Sağlık ödemelerini izleme ve denetleme</t>
  </si>
  <si>
    <t>KY-SGK-08</t>
  </si>
  <si>
    <t>Sosyal Güvenlik Veri Analitiği</t>
  </si>
  <si>
    <t>Sosyal güvenlik verilerinden karar desteği üretme</t>
  </si>
  <si>
    <t>KY-ISG-01</t>
  </si>
  <si>
    <t>İş Sağlığı</t>
  </si>
  <si>
    <t>İSG Mevzuatı</t>
  </si>
  <si>
    <t>İş sağlığı ve güvenliği mevzuatını uygulama</t>
  </si>
  <si>
    <t>KY-ISG-02</t>
  </si>
  <si>
    <t>Sektörel Risk Analizi</t>
  </si>
  <si>
    <t>Sektör bazlı İSG risklerini analiz etme</t>
  </si>
  <si>
    <t>KY-ISG-03</t>
  </si>
  <si>
    <t>Piyasa Gözetim ve Denetim</t>
  </si>
  <si>
    <t>İş ekipmanları ve KKD denetimini yönetme</t>
  </si>
  <si>
    <t>KY-ISG-04</t>
  </si>
  <si>
    <t>Yetkilendirme ve Belgelendirme</t>
  </si>
  <si>
    <t>İSG hizmet sağlayıcı yetkilendirmelerini yönetme</t>
  </si>
  <si>
    <t>KY-ISG-05</t>
  </si>
  <si>
    <t>İSG Veri Yönetimi</t>
  </si>
  <si>
    <t>İSG verilerini toplama, analiz etme ve raporlama</t>
  </si>
  <si>
    <t>KY-ISG-06</t>
  </si>
  <si>
    <t>İSG Eğitim Yönetimi</t>
  </si>
  <si>
    <t>İSG eğitim ve farkındalık programları tasarlama</t>
  </si>
  <si>
    <t>KY-ISG-07</t>
  </si>
  <si>
    <t>Laboratuvar ve Ar-Ge Yönetimi</t>
  </si>
  <si>
    <t>İSG araştırma ve laboratuvar süreçlerini yönetme</t>
  </si>
  <si>
    <t>KY-ISG-08</t>
  </si>
  <si>
    <t>Kaza Önleme Politikası</t>
  </si>
  <si>
    <t>İş kazalarını önlemeye dönük politika geliştirme</t>
  </si>
  <si>
    <t>KY-INT-01</t>
  </si>
  <si>
    <t>Uluslararası</t>
  </si>
  <si>
    <t>AB Uyum Yönetimi</t>
  </si>
  <si>
    <t>AB müktesebatı ve uyum süreçlerini yönetme</t>
  </si>
  <si>
    <t>KY-INT-02</t>
  </si>
  <si>
    <t>Uluslararası Anlaşmalar</t>
  </si>
  <si>
    <t>Uluslararası anlaşma hazırlama ve izleme</t>
  </si>
  <si>
    <t>KY-INT-03</t>
  </si>
  <si>
    <t>Uluslararası Kuruluş İlişkileri</t>
  </si>
  <si>
    <t>ILO, OECD, AB vb. kurumlarla ilişkileri yönetme</t>
  </si>
  <si>
    <t>KY-INT-04</t>
  </si>
  <si>
    <t>Uluslararası Proje Yönetimi</t>
  </si>
  <si>
    <t>AB ve uluslararası projeleri yürütme</t>
  </si>
  <si>
    <t>KY-INT-05</t>
  </si>
  <si>
    <t>Yurtdışı Teşkilat Koordinasyonu</t>
  </si>
  <si>
    <t>Yurtdışı birim ve hizmetleri koordine etme</t>
  </si>
  <si>
    <t>KY-INT-06</t>
  </si>
  <si>
    <t>Diplomatik Yazışma</t>
  </si>
  <si>
    <t>Uluslararası yazışma ve temsil dilini kullanma</t>
  </si>
  <si>
    <t>KY-INT-07</t>
  </si>
  <si>
    <t>Karşılaştırmalı Kamu Politikası</t>
  </si>
  <si>
    <t>Ülke uygulamalarını karşılaştırmalı analiz etme</t>
  </si>
  <si>
    <t>KY-INT-08</t>
  </si>
  <si>
    <t>Uluslararası Fon ve Hibe Yönetimi</t>
  </si>
  <si>
    <t>Uluslararası fon ve hibe süreçlerini yönetme</t>
  </si>
  <si>
    <t>Yönetici Gereksinimi</t>
  </si>
  <si>
    <t>Yetkinlik 1 Kodu</t>
  </si>
  <si>
    <t>Yetkinlik 1 Adı</t>
  </si>
  <si>
    <t>Yetkinlik 1 Ağırlık (%)</t>
  </si>
  <si>
    <t>Yetkinlik 1 Seviye Hedefi</t>
  </si>
  <si>
    <t>Yetkinlik 1 Ölçüm Tipi</t>
  </si>
  <si>
    <t>Yetkinlik 2 Kodu</t>
  </si>
  <si>
    <t>Yetkinlik 2 Adı</t>
  </si>
  <si>
    <t>Yetkinlik 2 Ağırlık (%)</t>
  </si>
  <si>
    <t>Yetkinlik 2 Seviye Hedefi</t>
  </si>
  <si>
    <t>Yetkinlik 2 Ölçüm Tipi</t>
  </si>
  <si>
    <t>Yetkinlik 3 Kodu</t>
  </si>
  <si>
    <t>Yetkinlik 3 Adı</t>
  </si>
  <si>
    <t>Yetkinlik 3 Ağırlık (%)</t>
  </si>
  <si>
    <t>Yetkinlik 3 Seviye Hedefi</t>
  </si>
  <si>
    <t>Yetkinlik 3 Ölçüm Tipi</t>
  </si>
  <si>
    <t>Yetkinlik 4 Kodu</t>
  </si>
  <si>
    <t>Yetkinlik 4 Adı</t>
  </si>
  <si>
    <t>Yetkinlik 4 Ağırlık (%)</t>
  </si>
  <si>
    <t>Yetkinlik 4 Seviye Hedefi</t>
  </si>
  <si>
    <t>Yetkinlik 4 Ölçüm Tipi</t>
  </si>
  <si>
    <t>Yetkinlik 5 Kodu</t>
  </si>
  <si>
    <t>Yetkinlik 5 Adı</t>
  </si>
  <si>
    <t>Yetkinlik 5 Ağırlık (%)</t>
  </si>
  <si>
    <t>Yetkinlik 5 Seviye Hedefi</t>
  </si>
  <si>
    <t>Yetkinlik 5 Ölçüm Tipi</t>
  </si>
  <si>
    <t>Toplam Ağırlık (%)</t>
  </si>
  <si>
    <t>Senaryo + Vaka + 360°</t>
  </si>
  <si>
    <t>Senaryo + Vaka</t>
  </si>
  <si>
    <t>Test + Uygulama</t>
  </si>
  <si>
    <t>Davranış Envanteri + Senaryo</t>
  </si>
  <si>
    <t>Test + Vaka</t>
  </si>
  <si>
    <t>Test + Senaryo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</si>
</sst>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name val="Carlito"/>
    </font>
    <font>
      <sz val="12"/>
      <name val="Calibri"/>
      <family val="2"/>
      <scheme val="major"/>
    </font>
    <font>
      <sz val="8"/>
      <name val="Calibri"/>
      <family val="2"/>
      <scheme val="major"/>
    </font>
    <font>
      <sz val="12"/>
      <color theme="1"/>
      <name val="Calibri"/>
      <family val="2"/>
      <scheme val="major"/>
    </font>
    <font>
      <b/>
      <sz val="12"/>
      <color rgb="FFFFFFFF"/>
      <name val="Calibri"/>
      <family val="2"/>
      <scheme val="major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18">
    <border>
      <left/>
      <right/>
      <top/>
      <bottom/>
      <diagonal/>
    </border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1"/>
  </cellStyleXfs>
  <cellXfs count="64">
    <xf numFmtId="0" fontId="0" fillId="0" borderId="0" xfId="0" applyBorder="1"/>
    <xf numFmtId="0" fontId="1" fillId="0" borderId="0" xfId="0" applyFont="1" applyBorder="1"/>
    <xf numFmtId="0" fontId="1" fillId="0" borderId="0" xfId="0" applyFont="1" applyBorder="1" applyAlignment="1">
      <alignment horizontal="right"/>
    </xf>
    <xf numFmtId="0" fontId="1" fillId="0" borderId="1" xfId="0" applyFont="1"/>
    <xf numFmtId="0" fontId="1" fillId="0" borderId="1" xfId="0" applyFont="1" applyAlignment="1">
      <alignment horizontal="right"/>
    </xf>
    <xf numFmtId="0" fontId="1" fillId="0" borderId="5" xfId="0" applyFont="1" applyBorder="1" applyAlignment="1">
      <alignment vertical="top" wrapText="1"/>
    </xf>
    <xf numFmtId="0" fontId="1" fillId="0" borderId="6" xfId="0" applyFont="1" applyBorder="1" applyAlignment="1">
      <alignment horizontal="right" vertical="top" wrapText="1"/>
    </xf>
    <xf numFmtId="0" fontId="1" fillId="0" borderId="6" xfId="0" applyFont="1" applyBorder="1" applyAlignment="1">
      <alignment vertical="top" wrapText="1"/>
    </xf>
    <xf numFmtId="0" fontId="1" fillId="0" borderId="7" xfId="0" applyFont="1" applyBorder="1" applyAlignment="1">
      <alignment vertical="top" wrapText="1"/>
    </xf>
    <xf numFmtId="0" fontId="1" fillId="0" borderId="8" xfId="0" applyFont="1" applyBorder="1" applyAlignment="1">
      <alignment vertical="top" wrapText="1"/>
    </xf>
    <xf numFmtId="0" fontId="1" fillId="0" borderId="9" xfId="0" applyFont="1" applyBorder="1" applyAlignment="1">
      <alignment horizontal="right" vertical="top" wrapText="1"/>
    </xf>
    <xf numFmtId="0" fontId="1" fillId="0" borderId="9" xfId="0" applyFont="1" applyBorder="1" applyAlignment="1">
      <alignment vertical="top" wrapText="1"/>
    </xf>
    <xf numFmtId="0" fontId="1" fillId="0" borderId="10" xfId="0" applyFont="1" applyBorder="1" applyAlignment="1">
      <alignment vertical="top" wrapText="1"/>
    </xf>
    <xf numFmtId="0" fontId="1" fillId="0" borderId="11" xfId="0" applyFont="1" applyBorder="1" applyAlignment="1">
      <alignment vertical="center" wrapText="1"/>
    </xf>
    <xf numFmtId="0" fontId="2" fillId="0" borderId="12" xfId="0" applyFont="1" applyBorder="1" applyAlignment="1">
      <alignment horizontal="center" vertical="center" wrapText="1"/>
    </xf>
    <xf numFmtId="0" fontId="1" fillId="0" borderId="12" xfId="0" applyFont="1" applyBorder="1" applyAlignment="1">
      <alignment vertical="center" wrapText="1"/>
    </xf>
    <xf numFmtId="0" fontId="1" fillId="0" borderId="13" xfId="0" applyFont="1" applyBorder="1" applyAlignment="1">
      <alignment vertical="center" wrapText="1"/>
    </xf>
    <xf numFmtId="0" fontId="2" fillId="0" borderId="14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center" wrapText="1"/>
    </xf>
    <xf numFmtId="0" fontId="1" fillId="0" borderId="5" xfId="0" applyFont="1" applyBorder="1" applyAlignment="1">
      <alignment vertical="center" wrapText="1"/>
    </xf>
    <xf numFmtId="0" fontId="1" fillId="0" borderId="6" xfId="0" applyFont="1" applyBorder="1" applyAlignment="1">
      <alignment vertical="center" wrapText="1"/>
    </xf>
    <xf numFmtId="0" fontId="1" fillId="0" borderId="7" xfId="0" applyFont="1" applyBorder="1" applyAlignment="1">
      <alignment vertical="center" wrapText="1"/>
    </xf>
    <xf numFmtId="0" fontId="1" fillId="3" borderId="5" xfId="0" applyFont="1" applyFill="1" applyBorder="1" applyAlignment="1">
      <alignment vertical="center" wrapText="1"/>
    </xf>
    <xf numFmtId="0" fontId="1" fillId="3" borderId="6" xfId="0" applyFont="1" applyFill="1" applyBorder="1" applyAlignment="1">
      <alignment vertical="center" wrapText="1"/>
    </xf>
    <xf numFmtId="0" fontId="1" fillId="3" borderId="7" xfId="0" applyFont="1" applyFill="1" applyBorder="1" applyAlignment="1">
      <alignment vertical="center" wrapText="1"/>
    </xf>
    <xf numFmtId="0" fontId="1" fillId="3" borderId="8" xfId="0" applyFont="1" applyFill="1" applyBorder="1" applyAlignment="1">
      <alignment vertical="center" wrapText="1"/>
    </xf>
    <xf numFmtId="0" fontId="1" fillId="3" borderId="9" xfId="0" applyFont="1" applyFill="1" applyBorder="1" applyAlignment="1">
      <alignment vertical="center" wrapText="1"/>
    </xf>
    <xf numFmtId="0" fontId="1" fillId="3" borderId="10" xfId="0" applyFont="1" applyFill="1" applyBorder="1" applyAlignment="1">
      <alignment vertical="center" wrapText="1"/>
    </xf>
    <xf numFmtId="0" fontId="1" fillId="0" borderId="1" xfId="0" applyFont="1" applyAlignment="1">
      <alignment vertical="center"/>
    </xf>
    <xf numFmtId="0" fontId="1" fillId="0" borderId="1" xfId="0" applyFont="1" applyAlignment="1">
      <alignment horizontal="right" vertical="center"/>
    </xf>
    <xf numFmtId="0" fontId="1" fillId="0" borderId="0" xfId="0" applyFont="1" applyBorder="1" applyAlignment="1">
      <alignment vertical="center"/>
    </xf>
    <xf numFmtId="0" fontId="1" fillId="0" borderId="2" xfId="0" applyFont="1" applyBorder="1" applyAlignment="1">
      <alignment horizontal="right" vertical="center" wrapText="1"/>
    </xf>
    <xf numFmtId="0" fontId="1" fillId="0" borderId="3" xfId="0" applyFont="1" applyBorder="1" applyAlignment="1">
      <alignment vertical="center" wrapText="1"/>
    </xf>
    <xf numFmtId="0" fontId="1" fillId="0" borderId="3" xfId="0" applyFont="1" applyBorder="1" applyAlignment="1">
      <alignment horizontal="right" vertical="center" wrapText="1"/>
    </xf>
    <xf numFmtId="0" fontId="1" fillId="0" borderId="4" xfId="0" applyFont="1" applyBorder="1" applyAlignment="1">
      <alignment vertical="center" wrapText="1"/>
    </xf>
    <xf numFmtId="0" fontId="1" fillId="0" borderId="5" xfId="0" applyFont="1" applyBorder="1" applyAlignment="1">
      <alignment horizontal="right" vertical="center" wrapText="1"/>
    </xf>
    <xf numFmtId="0" fontId="1" fillId="0" borderId="6" xfId="0" applyFont="1" applyBorder="1" applyAlignment="1">
      <alignment horizontal="right" vertical="center" wrapText="1"/>
    </xf>
    <xf numFmtId="0" fontId="1" fillId="0" borderId="8" xfId="0" applyFont="1" applyBorder="1" applyAlignment="1">
      <alignment horizontal="right" vertical="center" wrapText="1"/>
    </xf>
    <xf numFmtId="0" fontId="1" fillId="0" borderId="9" xfId="0" applyFont="1" applyBorder="1" applyAlignment="1">
      <alignment vertical="center" wrapText="1"/>
    </xf>
    <xf numFmtId="0" fontId="1" fillId="0" borderId="9" xfId="0" applyFont="1" applyBorder="1" applyAlignment="1">
      <alignment horizontal="right" vertical="center" wrapText="1"/>
    </xf>
    <xf numFmtId="0" fontId="1" fillId="0" borderId="10" xfId="0" applyFont="1" applyBorder="1" applyAlignment="1">
      <alignment vertical="center" wrapText="1"/>
    </xf>
    <xf numFmtId="0" fontId="1" fillId="0" borderId="1" xfId="0" applyFont="1" applyAlignment="1">
      <alignment horizontal="right" vertical="center" wrapText="1"/>
    </xf>
    <xf numFmtId="0" fontId="1" fillId="3" borderId="17" xfId="0" applyFont="1" applyFill="1" applyBorder="1" applyAlignment="1">
      <alignment vertical="center"/>
    </xf>
    <xf numFmtId="0" fontId="1" fillId="0" borderId="0" xfId="0" applyFont="1" applyBorder="1" applyAlignment="1">
      <alignment horizontal="right" vertical="center"/>
    </xf>
    <xf numFmtId="0" fontId="1" fillId="0" borderId="2" xfId="0" applyFont="1" applyBorder="1" applyAlignment="1">
      <alignment vertical="center" wrapText="1"/>
    </xf>
    <xf numFmtId="0" fontId="4" fillId="2" borderId="1" xfId="0" applyFont="1" applyFill="1" applyAlignment="1">
      <alignment vertical="center" wrapText="1"/>
    </xf>
    <xf numFmtId="0" fontId="1" fillId="0" borderId="1" xfId="0" applyFont="1" applyAlignment="1">
      <alignment horizontal="center" vertical="center"/>
    </xf>
    <xf numFmtId="0" fontId="4" fillId="2" borderId="1" xfId="0" applyFont="1" applyFill="1" applyAlignment="1">
      <alignment horizontal="center" vertical="center" wrapText="1"/>
    </xf>
    <xf numFmtId="0" fontId="1" fillId="0" borderId="1" xfId="0" applyFont="1" applyAlignment="1">
      <alignment horizontal="center" vertical="center" wrapText="1"/>
    </xf>
    <xf numFmtId="0" fontId="1" fillId="0" borderId="2" xfId="0" applyFont="1" applyBorder="1" applyAlignment="1">
      <alignment vertical="center"/>
    </xf>
    <xf numFmtId="0" fontId="3" fillId="4" borderId="3" xfId="0" applyFont="1" applyFill="1" applyBorder="1" applyAlignment="1">
      <alignment vertical="center"/>
    </xf>
    <xf numFmtId="0" fontId="3" fillId="4" borderId="4" xfId="0" applyFont="1" applyFill="1" applyBorder="1" applyAlignment="1">
      <alignment horizontal="center" vertical="center"/>
    </xf>
    <xf numFmtId="0" fontId="1" fillId="0" borderId="5" xfId="0" applyFont="1" applyBorder="1" applyAlignment="1">
      <alignment vertical="center"/>
    </xf>
    <xf numFmtId="0" fontId="1" fillId="0" borderId="6" xfId="0" applyFont="1" applyBorder="1" applyAlignment="1">
      <alignment vertical="center"/>
    </xf>
    <xf numFmtId="0" fontId="1" fillId="0" borderId="7" xfId="0" applyFont="1" applyBorder="1" applyAlignment="1">
      <alignment horizontal="center" vertical="center"/>
    </xf>
    <xf numFmtId="0" fontId="3" fillId="4" borderId="6" xfId="0" applyFont="1" applyFill="1" applyBorder="1" applyAlignment="1">
      <alignment vertical="center"/>
    </xf>
    <xf numFmtId="0" fontId="3" fillId="4" borderId="7" xfId="0" applyFont="1" applyFill="1" applyBorder="1" applyAlignment="1">
      <alignment horizontal="center" vertical="center"/>
    </xf>
    <xf numFmtId="0" fontId="3" fillId="4" borderId="5" xfId="0" applyFont="1" applyFill="1" applyBorder="1" applyAlignment="1">
      <alignment vertical="center"/>
    </xf>
    <xf numFmtId="0" fontId="1" fillId="0" borderId="8" xfId="0" applyFont="1" applyBorder="1" applyAlignment="1">
      <alignment vertical="center" wrapText="1"/>
    </xf>
    <xf numFmtId="0" fontId="1" fillId="0" borderId="8" xfId="0" applyFont="1" applyBorder="1" applyAlignment="1">
      <alignment vertical="center"/>
    </xf>
    <xf numFmtId="0" fontId="3" fillId="4" borderId="9" xfId="0" applyFont="1" applyFill="1" applyBorder="1" applyAlignment="1">
      <alignment vertical="center"/>
    </xf>
    <xf numFmtId="0" fontId="3" fillId="4" borderId="10" xfId="0" applyFont="1" applyFill="1" applyBorder="1" applyAlignment="1">
      <alignment horizontal="center" vertical="center"/>
    </xf>
  </cellXfs>
  <cellStyles count="1">
    <cellStyle name="Normal" xfId="0" builtinId="0"/>
  </cellStyles>
  <dxfs count="42">
    <dxf>
      <font>
        <strike val="0"/>
        <outline val="0"/>
        <shadow val="0"/>
        <u val="none"/>
        <vertAlign val="baseline"/>
        <sz val="12"/>
        <name val="Calibri"/>
        <family val="2"/>
        <scheme val="major"/>
      </font>
      <alignment vertical="center" textRotation="0" indent="0" justifyLastLine="0" shrinkToFit="0" readingOrder="0"/>
      <border diagonalUp="0" diagonalDown="0" outline="0">
        <left style="medium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outline val="0"/>
        <shadow val="0"/>
        <u val="none"/>
        <vertAlign val="baseline"/>
        <sz val="12"/>
        <name val="Calibri"/>
        <family val="2"/>
        <scheme val="major"/>
      </font>
      <alignment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name val="Calibri"/>
        <family val="2"/>
        <scheme val="major"/>
      </font>
      <alignment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name val="Calibri"/>
        <family val="2"/>
        <scheme val="major"/>
      </font>
      <alignment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name val="Calibri"/>
        <family val="2"/>
        <scheme val="major"/>
      </font>
      <alignment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name val="Calibri"/>
        <family val="2"/>
        <scheme val="major"/>
      </font>
      <alignment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name val="Calibri"/>
        <family val="2"/>
        <scheme val="major"/>
      </font>
      <alignment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name val="Calibri"/>
        <family val="2"/>
        <scheme val="major"/>
      </font>
      <alignment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name val="Calibri"/>
        <family val="2"/>
        <scheme val="major"/>
      </font>
      <alignment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name val="Calibri"/>
        <family val="2"/>
        <scheme val="major"/>
      </font>
      <alignment vertical="center" textRotation="0" indent="0" justifyLastLine="0" shrinkToFit="0" readingOrder="0"/>
      <border diagonalUp="0" diagonalDown="0"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name val="Calibri"/>
        <family val="2"/>
        <scheme val="major"/>
      </font>
      <alignment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Calibri"/>
        <family val="2"/>
        <scheme val="major"/>
      </font>
      <alignment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2"/>
        <name val="Calibri"/>
        <family val="2"/>
        <scheme val="major"/>
      </font>
      <alignment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ajor"/>
      </font>
      <fill>
        <patternFill patternType="solid">
          <fgColor indexed="64"/>
          <bgColor theme="4" tint="0.79998168889431442"/>
        </patternFill>
      </fill>
      <alignment vertical="center" textRotation="0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auto="1"/>
        <name val="Calibri"/>
        <family val="2"/>
        <scheme val="major"/>
      </font>
      <alignment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ajor"/>
      </font>
      <alignment horizontal="righ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auto="1"/>
        <name val="Calibri"/>
        <family val="2"/>
        <scheme val="major"/>
      </font>
      <alignment horizontal="right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ajor"/>
      </font>
      <alignment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auto="1"/>
        <name val="Calibri"/>
        <family val="2"/>
        <scheme val="major"/>
      </font>
      <alignment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scheme val="major"/>
      </font>
      <alignment horizontal="righ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auto="1"/>
        <name val="Calibri"/>
        <family val="2"/>
        <scheme val="major"/>
      </font>
      <alignment horizontal="right" vertical="center" textRotation="0" wrapText="1" indent="0" justifyLastLine="0" shrinkToFit="0" readingOrder="0"/>
      <border diagonalUp="0" diagonalDown="0" outline="0"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auto="1"/>
        <name val="Calibri"/>
        <family val="2"/>
        <scheme val="major"/>
      </font>
      <alignment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auto="1"/>
        <name val="Calibri"/>
        <family val="2"/>
        <scheme val="major"/>
      </font>
      <alignment vertical="center" textRotation="0" indent="0" justifyLastLine="0" shrinkToFit="0" readingOrder="0"/>
    </dxf>
    <dxf>
      <border>
        <bottom style="medium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auto="1"/>
        <name val="Calibri"/>
        <family val="2"/>
        <scheme val="major"/>
      </font>
      <alignment vertical="center" textRotation="0" indent="0" justifyLastLine="0" shrinkToFit="0" readingOrder="0"/>
      <border diagonalUp="0" diagonalDown="0" outline="0">
        <left/>
        <right/>
        <top/>
        <bottom/>
      </border>
    </dxf>
    <dxf>
      <font>
        <strike val="0"/>
        <outline val="0"/>
        <shadow val="0"/>
        <u val="none"/>
        <vertAlign val="baseline"/>
        <sz val="12"/>
        <color auto="1"/>
        <name val="Calibri"/>
        <family val="2"/>
        <scheme val="major"/>
      </font>
      <border diagonalUp="0" diagonalDown="0">
        <left style="thin">
          <color auto="1"/>
        </left>
        <right style="medium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strike val="0"/>
        <outline val="0"/>
        <shadow val="0"/>
        <u val="none"/>
        <vertAlign val="baseline"/>
        <sz val="12"/>
        <color auto="1"/>
        <name val="Calibri"/>
        <family val="2"/>
        <scheme val="major"/>
      </font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strike val="0"/>
        <outline val="0"/>
        <shadow val="0"/>
        <u val="none"/>
        <vertAlign val="baseline"/>
        <sz val="12"/>
        <color auto="1"/>
        <name val="Calibri"/>
        <family val="2"/>
        <scheme val="major"/>
      </font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strike val="0"/>
        <outline val="0"/>
        <shadow val="0"/>
        <u val="none"/>
        <vertAlign val="baseline"/>
        <sz val="12"/>
        <color auto="1"/>
        <name val="Calibri"/>
        <family val="2"/>
        <scheme val="major"/>
      </font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strike val="0"/>
        <outline val="0"/>
        <shadow val="0"/>
        <u val="none"/>
        <vertAlign val="baseline"/>
        <sz val="12"/>
        <color auto="1"/>
        <name val="Calibri"/>
        <family val="2"/>
        <scheme val="major"/>
      </font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strike val="0"/>
        <outline val="0"/>
        <shadow val="0"/>
        <u val="none"/>
        <vertAlign val="baseline"/>
        <sz val="12"/>
        <color auto="1"/>
        <name val="Calibri"/>
        <family val="2"/>
        <scheme val="major"/>
      </font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strike val="0"/>
        <outline val="0"/>
        <shadow val="0"/>
        <u val="none"/>
        <vertAlign val="baseline"/>
        <sz val="12"/>
        <color auto="1"/>
        <name val="Calibri"/>
        <family val="2"/>
        <scheme val="major"/>
      </font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strike val="0"/>
        <outline val="0"/>
        <shadow val="0"/>
        <u val="none"/>
        <vertAlign val="baseline"/>
        <sz val="12"/>
        <color auto="1"/>
        <name val="Calibri"/>
        <family val="2"/>
        <scheme val="major"/>
      </font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strike val="0"/>
        <outline val="0"/>
        <shadow val="0"/>
        <u val="none"/>
        <vertAlign val="baseline"/>
        <sz val="12"/>
        <color auto="1"/>
        <name val="Calibri"/>
        <family val="2"/>
        <scheme val="major"/>
      </font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strike val="0"/>
        <outline val="0"/>
        <shadow val="0"/>
        <u val="none"/>
        <vertAlign val="baseline"/>
        <sz val="12"/>
        <color auto="1"/>
        <name val="Calibri"/>
        <family val="2"/>
        <scheme val="major"/>
      </font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strike val="0"/>
        <outline val="0"/>
        <shadow val="0"/>
        <u val="none"/>
        <vertAlign val="baseline"/>
        <sz val="12"/>
        <color auto="1"/>
        <name val="Calibri"/>
        <family val="2"/>
        <scheme val="major"/>
      </font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strike val="0"/>
        <outline val="0"/>
        <shadow val="0"/>
        <u val="none"/>
        <vertAlign val="baseline"/>
        <sz val="12"/>
        <color auto="1"/>
        <name val="Calibri"/>
        <family val="2"/>
        <scheme val="major"/>
      </font>
      <alignment horizontal="right" textRotation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strike val="0"/>
        <outline val="0"/>
        <shadow val="0"/>
        <u val="none"/>
        <vertAlign val="baseline"/>
        <sz val="12"/>
        <color auto="1"/>
        <name val="Calibri"/>
        <family val="2"/>
        <scheme val="major"/>
      </font>
      <border diagonalUp="0" diagonalDown="0">
        <left style="medium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strike val="0"/>
        <outline val="0"/>
        <shadow val="0"/>
        <u val="none"/>
        <vertAlign val="baseline"/>
        <sz val="12"/>
        <color auto="1"/>
        <name val="Calibri"/>
        <family val="2"/>
        <scheme val="major"/>
      </font>
    </dxf>
    <dxf>
      <font>
        <strike val="0"/>
        <outline val="0"/>
        <shadow val="0"/>
        <u val="none"/>
        <vertAlign val="baseline"/>
        <sz val="12"/>
        <color auto="1"/>
        <name val="Calibri"/>
        <family val="2"/>
        <scheme val="major"/>
      </font>
    </dxf>
    <dxf>
      <border>
        <bottom style="medium">
          <color auto="1"/>
        </bottom>
      </border>
    </dxf>
    <dxf>
      <font>
        <strike val="0"/>
        <outline val="0"/>
        <shadow val="0"/>
        <u val="none"/>
        <vertAlign val="baseline"/>
        <sz val="12"/>
        <color auto="1"/>
        <name val="Calibri"/>
        <family val="2"/>
        <scheme val="maj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B2:N103" headerRowDxfId="41" dataDxfId="39" totalsRowDxfId="38" headerRowBorderDxfId="40">
  <tableColumns count="13">
    <tableColumn id="1" xr3:uid="{00000000-0010-0000-0000-000001000000}" name="UID" dataDxfId="37"/>
    <tableColumn id="2" xr3:uid="{00000000-0010-0000-0000-000002000000}" name="Bağlılık Kodu" dataDxfId="36"/>
    <tableColumn id="3" xr3:uid="{00000000-0010-0000-0000-000003000000}" name="Ana Birim / Kurum" dataDxfId="35"/>
    <tableColumn id="4" xr3:uid="{00000000-0010-0000-0000-000004000000}" name="Seviye" dataDxfId="34"/>
    <tableColumn id="5" xr3:uid="{00000000-0010-0000-0000-000005000000}" name="Pozisyon Türü" dataDxfId="33"/>
    <tableColumn id="6" xr3:uid="{00000000-0010-0000-0000-000006000000}" name="Pozisyon / Birim Adı" dataDxfId="32"/>
    <tableColumn id="7" xr3:uid="{00000000-0010-0000-0000-000007000000}" name="Ana Birim Kodu" dataDxfId="31"/>
    <tableColumn id="8" xr3:uid="{00000000-0010-0000-0000-000008000000}" name="Ara Bağlılık" dataDxfId="30"/>
    <tableColumn id="9" xr3:uid="{00000000-0010-0000-0000-000009000000}" name="Alt Kod" dataDxfId="29"/>
    <tableColumn id="10" xr3:uid="{00000000-0010-0000-0000-00000A000000}" name="Yönetici Adedi" dataDxfId="28"/>
    <tableColumn id="12" xr3:uid="{00000000-0010-0000-0000-00000C000000}" name="Görev / Açıklama" dataDxfId="27"/>
    <tableColumn id="13" xr3:uid="{00000000-0010-0000-0000-00000D000000}" name="Kaynak Dosya" dataDxfId="26"/>
    <tableColumn id="14" xr3:uid="{00000000-0010-0000-0000-00000E000000}" name="Kaynak URL" dataDxfId="25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2" displayName="Table2" ref="B2:E20" totalsRowCount="1" headerRowDxfId="24" dataDxfId="22" totalsRowDxfId="21" headerRowBorderDxfId="23">
  <tableColumns count="4">
    <tableColumn id="1" xr3:uid="{00000000-0010-0000-0100-000001000000}" name="Bağlılık Kodu" dataDxfId="20" totalsRowDxfId="19"/>
    <tableColumn id="2" xr3:uid="{00000000-0010-0000-0100-000002000000}" name="Ana Birim / Kurum" dataDxfId="18" totalsRowDxfId="17"/>
    <tableColumn id="3" xr3:uid="{00000000-0010-0000-0100-000003000000}" name="Ana Birim Kodu" dataDxfId="16" totalsRowDxfId="15"/>
    <tableColumn id="4" xr3:uid="{00000000-0010-0000-0100-000004000000}" name="Yönetici Gereksinimi" totalsRowFunction="sum" dataDxfId="14" totalsRowDxfId="13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3" displayName="Table3" ref="B2:K103" headerRowDxfId="12" dataDxfId="11" totalsRowDxfId="10">
  <tableColumns count="10">
    <tableColumn id="1" xr3:uid="{00000000-0010-0000-0200-000001000000}" name="UID" dataDxfId="9"/>
    <tableColumn id="2" xr3:uid="{00000000-0010-0000-0200-000002000000}" name="Pozisyon / Birim Adı" dataDxfId="8"/>
    <tableColumn id="3" xr3:uid="{00000000-0010-0000-0200-000003000000}" name="Ana Birim / Kurum" dataDxfId="7"/>
    <tableColumn id="4" xr3:uid="{00000000-0010-0000-0200-000004000000}" name="Bağlılık Kodu" dataDxfId="6"/>
    <tableColumn id="5" xr3:uid="{00000000-0010-0000-0200-000005000000}" name="Yetkinlik 1 Kodu" dataDxfId="5"/>
    <tableColumn id="6" xr3:uid="{00000000-0010-0000-0200-000006000000}" name="Yetkinlik 1 Adı" dataDxfId="4"/>
    <tableColumn id="7" xr3:uid="{00000000-0010-0000-0200-000007000000}" name="Yetkinlik 1 Ağırlık (%)" dataDxfId="3"/>
    <tableColumn id="8" xr3:uid="{00000000-0010-0000-0200-000008000000}" name="Yetkinlik 1 Seviye Hedefi" dataDxfId="2"/>
    <tableColumn id="9" xr3:uid="{00000000-0010-0000-0200-000009000000}" name="Yetkinlik 1 Ölçüm Tipi" dataDxfId="1"/>
    <tableColumn id="10" xr3:uid="{00000000-0010-0000-0200-00000A000000}" name="Yetkinlik 2 Kodu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03"/>
  <sheetViews>
    <sheetView topLeftCell="A7" workbookViewId="0">
      <selection activeCell="L8" sqref="L8"/>
    </sheetView>
  </sheetViews>
  <sheetFormatPr defaultRowHeight="15.5"/>
  <cols>
    <col min="1" max="1" width="1.58203125" style="3" customWidth="1"/>
    <col min="2" max="2" width="20" style="1" customWidth="1"/>
    <col min="3" max="3" width="7.9140625" style="2" customWidth="1"/>
    <col min="4" max="4" width="46.5" style="1" customWidth="1"/>
    <col min="5" max="5" width="22" style="1" customWidth="1"/>
    <col min="6" max="6" width="23" style="1" customWidth="1"/>
    <col min="7" max="7" width="45" style="1" customWidth="1"/>
    <col min="8" max="8" width="16" style="1" customWidth="1"/>
    <col min="9" max="9" width="14" style="1" customWidth="1"/>
    <col min="10" max="10" width="12" style="1" customWidth="1"/>
    <col min="11" max="11" width="16" style="1" customWidth="1"/>
    <col min="12" max="12" width="45" style="1" customWidth="1"/>
    <col min="13" max="13" width="15" style="1" customWidth="1"/>
    <col min="14" max="14" width="45" style="1" customWidth="1"/>
    <col min="15" max="16384" width="8.6640625" style="1"/>
  </cols>
  <sheetData>
    <row r="1" spans="1:14" s="3" customFormat="1" ht="10" customHeight="1">
      <c r="C1" s="4"/>
    </row>
    <row r="2" spans="1:14" ht="16" thickBot="1">
      <c r="B2" s="13" t="s">
        <v>0</v>
      </c>
      <c r="C2" s="14" t="s">
        <v>1</v>
      </c>
      <c r="D2" s="15" t="s">
        <v>2</v>
      </c>
      <c r="E2" s="15" t="s">
        <v>3</v>
      </c>
      <c r="F2" s="15" t="s">
        <v>4</v>
      </c>
      <c r="G2" s="15" t="s">
        <v>5</v>
      </c>
      <c r="H2" s="15" t="s">
        <v>6</v>
      </c>
      <c r="I2" s="15" t="s">
        <v>7</v>
      </c>
      <c r="J2" s="15" t="s">
        <v>8</v>
      </c>
      <c r="K2" s="15" t="s">
        <v>9</v>
      </c>
      <c r="L2" s="15" t="s">
        <v>10</v>
      </c>
      <c r="M2" s="15" t="s">
        <v>11</v>
      </c>
      <c r="N2" s="16" t="s">
        <v>12</v>
      </c>
    </row>
    <row r="3" spans="1:14" s="32" customFormat="1" ht="28" customHeight="1">
      <c r="A3" s="30"/>
      <c r="B3" s="46" t="s">
        <v>13</v>
      </c>
      <c r="C3" s="35" t="s">
        <v>14</v>
      </c>
      <c r="D3" s="34" t="s">
        <v>15</v>
      </c>
      <c r="E3" s="34" t="s">
        <v>15</v>
      </c>
      <c r="F3" s="34" t="s">
        <v>16</v>
      </c>
      <c r="G3" s="34" t="s">
        <v>15</v>
      </c>
      <c r="H3" s="34" t="s">
        <v>14</v>
      </c>
      <c r="I3" s="34"/>
      <c r="J3" s="34"/>
      <c r="K3" s="34">
        <v>1</v>
      </c>
      <c r="L3" s="34"/>
      <c r="M3" s="34" t="s">
        <v>17</v>
      </c>
      <c r="N3" s="36" t="s">
        <v>18</v>
      </c>
    </row>
    <row r="4" spans="1:14" s="32" customFormat="1" ht="28" customHeight="1">
      <c r="A4" s="30"/>
      <c r="B4" s="21" t="s">
        <v>19</v>
      </c>
      <c r="C4" s="38" t="s">
        <v>14</v>
      </c>
      <c r="D4" s="22" t="s">
        <v>20</v>
      </c>
      <c r="E4" s="22" t="s">
        <v>21</v>
      </c>
      <c r="F4" s="22" t="s">
        <v>22</v>
      </c>
      <c r="G4" s="22" t="s">
        <v>21</v>
      </c>
      <c r="H4" s="22" t="s">
        <v>23</v>
      </c>
      <c r="I4" s="22"/>
      <c r="J4" s="22"/>
      <c r="K4" s="22">
        <v>1</v>
      </c>
      <c r="L4" s="22"/>
      <c r="M4" s="22" t="s">
        <v>17</v>
      </c>
      <c r="N4" s="23" t="s">
        <v>18</v>
      </c>
    </row>
    <row r="5" spans="1:14" s="32" customFormat="1" ht="28" customHeight="1">
      <c r="A5" s="30"/>
      <c r="B5" s="21" t="s">
        <v>24</v>
      </c>
      <c r="C5" s="38" t="s">
        <v>14</v>
      </c>
      <c r="D5" s="22" t="s">
        <v>25</v>
      </c>
      <c r="E5" s="22" t="s">
        <v>21</v>
      </c>
      <c r="F5" s="22" t="s">
        <v>22</v>
      </c>
      <c r="G5" s="22" t="s">
        <v>21</v>
      </c>
      <c r="H5" s="22" t="s">
        <v>26</v>
      </c>
      <c r="I5" s="22"/>
      <c r="J5" s="22"/>
      <c r="K5" s="22">
        <v>1</v>
      </c>
      <c r="L5" s="22"/>
      <c r="M5" s="22" t="s">
        <v>17</v>
      </c>
      <c r="N5" s="23" t="s">
        <v>18</v>
      </c>
    </row>
    <row r="6" spans="1:14" s="32" customFormat="1" ht="28" customHeight="1">
      <c r="A6" s="30"/>
      <c r="B6" s="21" t="s">
        <v>27</v>
      </c>
      <c r="C6" s="38" t="s">
        <v>14</v>
      </c>
      <c r="D6" s="22" t="s">
        <v>28</v>
      </c>
      <c r="E6" s="22" t="s">
        <v>21</v>
      </c>
      <c r="F6" s="22" t="s">
        <v>22</v>
      </c>
      <c r="G6" s="22" t="s">
        <v>21</v>
      </c>
      <c r="H6" s="22" t="s">
        <v>29</v>
      </c>
      <c r="I6" s="22"/>
      <c r="J6" s="22"/>
      <c r="K6" s="22">
        <v>1</v>
      </c>
      <c r="L6" s="22"/>
      <c r="M6" s="22" t="s">
        <v>17</v>
      </c>
      <c r="N6" s="23" t="s">
        <v>18</v>
      </c>
    </row>
    <row r="7" spans="1:14" s="32" customFormat="1" ht="28" customHeight="1">
      <c r="A7" s="30"/>
      <c r="B7" s="21" t="s">
        <v>30</v>
      </c>
      <c r="C7" s="38" t="s">
        <v>14</v>
      </c>
      <c r="D7" s="22" t="s">
        <v>31</v>
      </c>
      <c r="E7" s="22" t="s">
        <v>21</v>
      </c>
      <c r="F7" s="22" t="s">
        <v>22</v>
      </c>
      <c r="G7" s="22" t="s">
        <v>21</v>
      </c>
      <c r="H7" s="22" t="s">
        <v>32</v>
      </c>
      <c r="I7" s="22"/>
      <c r="J7" s="22"/>
      <c r="K7" s="22">
        <v>1</v>
      </c>
      <c r="L7" s="22"/>
      <c r="M7" s="22" t="s">
        <v>17</v>
      </c>
      <c r="N7" s="23" t="s">
        <v>18</v>
      </c>
    </row>
    <row r="8" spans="1:14" s="32" customFormat="1" ht="28" customHeight="1">
      <c r="A8" s="30"/>
      <c r="B8" s="21" t="s">
        <v>33</v>
      </c>
      <c r="C8" s="38" t="s">
        <v>14</v>
      </c>
      <c r="D8" s="22" t="s">
        <v>34</v>
      </c>
      <c r="E8" s="22" t="s">
        <v>2</v>
      </c>
      <c r="F8" s="22" t="s">
        <v>35</v>
      </c>
      <c r="G8" s="22" t="s">
        <v>34</v>
      </c>
      <c r="H8" s="22" t="s">
        <v>36</v>
      </c>
      <c r="I8" s="22"/>
      <c r="J8" s="22"/>
      <c r="K8" s="22">
        <v>1</v>
      </c>
      <c r="L8" s="22"/>
      <c r="M8" s="22" t="s">
        <v>17</v>
      </c>
      <c r="N8" s="23" t="s">
        <v>18</v>
      </c>
    </row>
    <row r="9" spans="1:14" s="32" customFormat="1" ht="28" customHeight="1">
      <c r="A9" s="30"/>
      <c r="B9" s="21" t="s">
        <v>37</v>
      </c>
      <c r="C9" s="38" t="s">
        <v>26</v>
      </c>
      <c r="D9" s="22" t="s">
        <v>38</v>
      </c>
      <c r="E9" s="22" t="s">
        <v>2</v>
      </c>
      <c r="F9" s="22" t="s">
        <v>35</v>
      </c>
      <c r="G9" s="22" t="s">
        <v>38</v>
      </c>
      <c r="H9" s="22" t="s">
        <v>39</v>
      </c>
      <c r="I9" s="22"/>
      <c r="J9" s="22"/>
      <c r="K9" s="22">
        <v>7</v>
      </c>
      <c r="L9" s="22"/>
      <c r="M9" s="22" t="s">
        <v>17</v>
      </c>
      <c r="N9" s="23" t="s">
        <v>18</v>
      </c>
    </row>
    <row r="10" spans="1:14" s="32" customFormat="1" ht="28" customHeight="1">
      <c r="A10" s="30"/>
      <c r="B10" s="21" t="s">
        <v>40</v>
      </c>
      <c r="C10" s="38" t="s">
        <v>26</v>
      </c>
      <c r="D10" s="22" t="s">
        <v>38</v>
      </c>
      <c r="E10" s="22" t="s">
        <v>41</v>
      </c>
      <c r="F10" s="22" t="s">
        <v>42</v>
      </c>
      <c r="G10" s="22" t="s">
        <v>43</v>
      </c>
      <c r="H10" s="22" t="s">
        <v>39</v>
      </c>
      <c r="I10" s="22"/>
      <c r="J10" s="22" t="s">
        <v>44</v>
      </c>
      <c r="K10" s="22">
        <v>1</v>
      </c>
      <c r="L10" s="22" t="s">
        <v>45</v>
      </c>
      <c r="M10" s="22" t="s">
        <v>17</v>
      </c>
      <c r="N10" s="23" t="s">
        <v>18</v>
      </c>
    </row>
    <row r="11" spans="1:14" s="32" customFormat="1" ht="28" customHeight="1">
      <c r="A11" s="30"/>
      <c r="B11" s="21" t="s">
        <v>46</v>
      </c>
      <c r="C11" s="38" t="s">
        <v>26</v>
      </c>
      <c r="D11" s="22" t="s">
        <v>38</v>
      </c>
      <c r="E11" s="22" t="s">
        <v>41</v>
      </c>
      <c r="F11" s="22" t="s">
        <v>42</v>
      </c>
      <c r="G11" s="22" t="s">
        <v>47</v>
      </c>
      <c r="H11" s="22" t="s">
        <v>39</v>
      </c>
      <c r="I11" s="22"/>
      <c r="J11" s="22" t="s">
        <v>48</v>
      </c>
      <c r="K11" s="22">
        <v>1</v>
      </c>
      <c r="L11" s="22" t="s">
        <v>49</v>
      </c>
      <c r="M11" s="22" t="s">
        <v>17</v>
      </c>
      <c r="N11" s="23" t="s">
        <v>18</v>
      </c>
    </row>
    <row r="12" spans="1:14" s="32" customFormat="1" ht="28" customHeight="1">
      <c r="A12" s="30"/>
      <c r="B12" s="21" t="s">
        <v>50</v>
      </c>
      <c r="C12" s="38" t="s">
        <v>26</v>
      </c>
      <c r="D12" s="22" t="s">
        <v>38</v>
      </c>
      <c r="E12" s="22" t="s">
        <v>41</v>
      </c>
      <c r="F12" s="22" t="s">
        <v>42</v>
      </c>
      <c r="G12" s="22" t="s">
        <v>51</v>
      </c>
      <c r="H12" s="22" t="s">
        <v>39</v>
      </c>
      <c r="I12" s="22"/>
      <c r="J12" s="22" t="s">
        <v>52</v>
      </c>
      <c r="K12" s="22">
        <v>1</v>
      </c>
      <c r="L12" s="22" t="s">
        <v>53</v>
      </c>
      <c r="M12" s="22" t="s">
        <v>17</v>
      </c>
      <c r="N12" s="23" t="s">
        <v>18</v>
      </c>
    </row>
    <row r="13" spans="1:14" s="32" customFormat="1" ht="28" customHeight="1">
      <c r="A13" s="30"/>
      <c r="B13" s="21" t="s">
        <v>54</v>
      </c>
      <c r="C13" s="38" t="s">
        <v>26</v>
      </c>
      <c r="D13" s="22" t="s">
        <v>38</v>
      </c>
      <c r="E13" s="22" t="s">
        <v>41</v>
      </c>
      <c r="F13" s="22" t="s">
        <v>42</v>
      </c>
      <c r="G13" s="22" t="s">
        <v>55</v>
      </c>
      <c r="H13" s="22" t="s">
        <v>39</v>
      </c>
      <c r="I13" s="22"/>
      <c r="J13" s="22" t="s">
        <v>56</v>
      </c>
      <c r="K13" s="22">
        <v>1</v>
      </c>
      <c r="L13" s="22" t="s">
        <v>57</v>
      </c>
      <c r="M13" s="22" t="s">
        <v>17</v>
      </c>
      <c r="N13" s="23" t="s">
        <v>18</v>
      </c>
    </row>
    <row r="14" spans="1:14" s="32" customFormat="1" ht="28" customHeight="1">
      <c r="A14" s="30"/>
      <c r="B14" s="21" t="s">
        <v>58</v>
      </c>
      <c r="C14" s="38" t="s">
        <v>26</v>
      </c>
      <c r="D14" s="22" t="s">
        <v>38</v>
      </c>
      <c r="E14" s="22" t="s">
        <v>41</v>
      </c>
      <c r="F14" s="22" t="s">
        <v>42</v>
      </c>
      <c r="G14" s="22" t="s">
        <v>59</v>
      </c>
      <c r="H14" s="22" t="s">
        <v>39</v>
      </c>
      <c r="I14" s="22"/>
      <c r="J14" s="22" t="s">
        <v>60</v>
      </c>
      <c r="K14" s="22">
        <v>1</v>
      </c>
      <c r="L14" s="22" t="s">
        <v>61</v>
      </c>
      <c r="M14" s="22" t="s">
        <v>17</v>
      </c>
      <c r="N14" s="23" t="s">
        <v>18</v>
      </c>
    </row>
    <row r="15" spans="1:14" s="32" customFormat="1" ht="28" customHeight="1">
      <c r="A15" s="30"/>
      <c r="B15" s="21" t="s">
        <v>62</v>
      </c>
      <c r="C15" s="38" t="s">
        <v>26</v>
      </c>
      <c r="D15" s="22" t="s">
        <v>38</v>
      </c>
      <c r="E15" s="22" t="s">
        <v>41</v>
      </c>
      <c r="F15" s="22" t="s">
        <v>42</v>
      </c>
      <c r="G15" s="22" t="s">
        <v>63</v>
      </c>
      <c r="H15" s="22" t="s">
        <v>39</v>
      </c>
      <c r="I15" s="22"/>
      <c r="J15" s="22" t="s">
        <v>64</v>
      </c>
      <c r="K15" s="22">
        <v>1</v>
      </c>
      <c r="L15" s="22" t="s">
        <v>65</v>
      </c>
      <c r="M15" s="22" t="s">
        <v>17</v>
      </c>
      <c r="N15" s="23" t="s">
        <v>18</v>
      </c>
    </row>
    <row r="16" spans="1:14" s="32" customFormat="1" ht="28" customHeight="1">
      <c r="A16" s="30"/>
      <c r="B16" s="21" t="s">
        <v>66</v>
      </c>
      <c r="C16" s="38" t="s">
        <v>29</v>
      </c>
      <c r="D16" s="22" t="s">
        <v>67</v>
      </c>
      <c r="E16" s="22" t="s">
        <v>2</v>
      </c>
      <c r="F16" s="22" t="s">
        <v>35</v>
      </c>
      <c r="G16" s="22" t="s">
        <v>67</v>
      </c>
      <c r="H16" s="22" t="s">
        <v>68</v>
      </c>
      <c r="I16" s="22"/>
      <c r="J16" s="22"/>
      <c r="K16" s="22">
        <v>9</v>
      </c>
      <c r="L16" s="22"/>
      <c r="M16" s="22" t="s">
        <v>17</v>
      </c>
      <c r="N16" s="23" t="s">
        <v>18</v>
      </c>
    </row>
    <row r="17" spans="1:14" s="32" customFormat="1" ht="28" customHeight="1">
      <c r="A17" s="30"/>
      <c r="B17" s="21" t="s">
        <v>69</v>
      </c>
      <c r="C17" s="38" t="s">
        <v>29</v>
      </c>
      <c r="D17" s="22" t="s">
        <v>67</v>
      </c>
      <c r="E17" s="22" t="s">
        <v>41</v>
      </c>
      <c r="F17" s="22" t="s">
        <v>42</v>
      </c>
      <c r="G17" s="22" t="s">
        <v>70</v>
      </c>
      <c r="H17" s="22" t="s">
        <v>68</v>
      </c>
      <c r="I17" s="22"/>
      <c r="J17" s="22" t="s">
        <v>71</v>
      </c>
      <c r="K17" s="22">
        <v>1</v>
      </c>
      <c r="L17" s="22" t="s">
        <v>72</v>
      </c>
      <c r="M17" s="22" t="s">
        <v>17</v>
      </c>
      <c r="N17" s="23" t="s">
        <v>18</v>
      </c>
    </row>
    <row r="18" spans="1:14" s="32" customFormat="1" ht="28" customHeight="1">
      <c r="A18" s="30"/>
      <c r="B18" s="21" t="s">
        <v>73</v>
      </c>
      <c r="C18" s="38" t="s">
        <v>29</v>
      </c>
      <c r="D18" s="22" t="s">
        <v>67</v>
      </c>
      <c r="E18" s="22" t="s">
        <v>41</v>
      </c>
      <c r="F18" s="22" t="s">
        <v>42</v>
      </c>
      <c r="G18" s="22" t="s">
        <v>74</v>
      </c>
      <c r="H18" s="22" t="s">
        <v>68</v>
      </c>
      <c r="I18" s="22"/>
      <c r="J18" s="22" t="s">
        <v>75</v>
      </c>
      <c r="K18" s="22">
        <v>1</v>
      </c>
      <c r="L18" s="22" t="s">
        <v>76</v>
      </c>
      <c r="M18" s="22" t="s">
        <v>17</v>
      </c>
      <c r="N18" s="23" t="s">
        <v>18</v>
      </c>
    </row>
    <row r="19" spans="1:14" s="32" customFormat="1" ht="28" customHeight="1">
      <c r="A19" s="30"/>
      <c r="B19" s="21" t="s">
        <v>77</v>
      </c>
      <c r="C19" s="38" t="s">
        <v>29</v>
      </c>
      <c r="D19" s="22" t="s">
        <v>67</v>
      </c>
      <c r="E19" s="22" t="s">
        <v>41</v>
      </c>
      <c r="F19" s="22" t="s">
        <v>42</v>
      </c>
      <c r="G19" s="22" t="s">
        <v>78</v>
      </c>
      <c r="H19" s="22" t="s">
        <v>68</v>
      </c>
      <c r="I19" s="22"/>
      <c r="J19" s="22" t="s">
        <v>79</v>
      </c>
      <c r="K19" s="22">
        <v>1</v>
      </c>
      <c r="L19" s="22" t="s">
        <v>80</v>
      </c>
      <c r="M19" s="22" t="s">
        <v>17</v>
      </c>
      <c r="N19" s="23" t="s">
        <v>18</v>
      </c>
    </row>
    <row r="20" spans="1:14" s="32" customFormat="1" ht="28" customHeight="1">
      <c r="A20" s="30"/>
      <c r="B20" s="21" t="s">
        <v>81</v>
      </c>
      <c r="C20" s="38" t="s">
        <v>29</v>
      </c>
      <c r="D20" s="22" t="s">
        <v>67</v>
      </c>
      <c r="E20" s="22" t="s">
        <v>41</v>
      </c>
      <c r="F20" s="22" t="s">
        <v>42</v>
      </c>
      <c r="G20" s="22" t="s">
        <v>82</v>
      </c>
      <c r="H20" s="22" t="s">
        <v>68</v>
      </c>
      <c r="I20" s="22"/>
      <c r="J20" s="22" t="s">
        <v>83</v>
      </c>
      <c r="K20" s="22">
        <v>1</v>
      </c>
      <c r="L20" s="22" t="s">
        <v>84</v>
      </c>
      <c r="M20" s="22" t="s">
        <v>17</v>
      </c>
      <c r="N20" s="23" t="s">
        <v>18</v>
      </c>
    </row>
    <row r="21" spans="1:14" s="32" customFormat="1" ht="28" customHeight="1">
      <c r="A21" s="30"/>
      <c r="B21" s="21" t="s">
        <v>85</v>
      </c>
      <c r="C21" s="38" t="s">
        <v>29</v>
      </c>
      <c r="D21" s="22" t="s">
        <v>67</v>
      </c>
      <c r="E21" s="22" t="s">
        <v>41</v>
      </c>
      <c r="F21" s="22" t="s">
        <v>42</v>
      </c>
      <c r="G21" s="22" t="s">
        <v>86</v>
      </c>
      <c r="H21" s="22" t="s">
        <v>68</v>
      </c>
      <c r="I21" s="22"/>
      <c r="J21" s="22" t="s">
        <v>87</v>
      </c>
      <c r="K21" s="22">
        <v>1</v>
      </c>
      <c r="L21" s="22" t="s">
        <v>88</v>
      </c>
      <c r="M21" s="22" t="s">
        <v>17</v>
      </c>
      <c r="N21" s="23" t="s">
        <v>18</v>
      </c>
    </row>
    <row r="22" spans="1:14" s="32" customFormat="1" ht="28" customHeight="1">
      <c r="A22" s="30"/>
      <c r="B22" s="21" t="s">
        <v>89</v>
      </c>
      <c r="C22" s="38" t="s">
        <v>29</v>
      </c>
      <c r="D22" s="22" t="s">
        <v>67</v>
      </c>
      <c r="E22" s="22" t="s">
        <v>41</v>
      </c>
      <c r="F22" s="22" t="s">
        <v>42</v>
      </c>
      <c r="G22" s="22" t="s">
        <v>90</v>
      </c>
      <c r="H22" s="22" t="s">
        <v>68</v>
      </c>
      <c r="I22" s="22"/>
      <c r="J22" s="22" t="s">
        <v>91</v>
      </c>
      <c r="K22" s="22">
        <v>1</v>
      </c>
      <c r="L22" s="22" t="s">
        <v>92</v>
      </c>
      <c r="M22" s="22" t="s">
        <v>17</v>
      </c>
      <c r="N22" s="23" t="s">
        <v>18</v>
      </c>
    </row>
    <row r="23" spans="1:14" s="32" customFormat="1" ht="28" customHeight="1">
      <c r="A23" s="30"/>
      <c r="B23" s="21" t="s">
        <v>93</v>
      </c>
      <c r="C23" s="38" t="s">
        <v>29</v>
      </c>
      <c r="D23" s="22" t="s">
        <v>67</v>
      </c>
      <c r="E23" s="22" t="s">
        <v>41</v>
      </c>
      <c r="F23" s="22" t="s">
        <v>42</v>
      </c>
      <c r="G23" s="22" t="s">
        <v>94</v>
      </c>
      <c r="H23" s="22" t="s">
        <v>68</v>
      </c>
      <c r="I23" s="22"/>
      <c r="J23" s="22" t="s">
        <v>95</v>
      </c>
      <c r="K23" s="22">
        <v>1</v>
      </c>
      <c r="L23" s="22" t="s">
        <v>96</v>
      </c>
      <c r="M23" s="22" t="s">
        <v>17</v>
      </c>
      <c r="N23" s="23" t="s">
        <v>18</v>
      </c>
    </row>
    <row r="24" spans="1:14" s="32" customFormat="1" ht="28" customHeight="1">
      <c r="A24" s="30"/>
      <c r="B24" s="21" t="s">
        <v>97</v>
      </c>
      <c r="C24" s="38" t="s">
        <v>29</v>
      </c>
      <c r="D24" s="22" t="s">
        <v>67</v>
      </c>
      <c r="E24" s="22" t="s">
        <v>41</v>
      </c>
      <c r="F24" s="22" t="s">
        <v>42</v>
      </c>
      <c r="G24" s="22" t="s">
        <v>98</v>
      </c>
      <c r="H24" s="22" t="s">
        <v>68</v>
      </c>
      <c r="I24" s="22"/>
      <c r="J24" s="22" t="s">
        <v>99</v>
      </c>
      <c r="K24" s="22">
        <v>1</v>
      </c>
      <c r="L24" s="22" t="s">
        <v>100</v>
      </c>
      <c r="M24" s="22" t="s">
        <v>17</v>
      </c>
      <c r="N24" s="23" t="s">
        <v>18</v>
      </c>
    </row>
    <row r="25" spans="1:14" s="32" customFormat="1" ht="28" customHeight="1">
      <c r="A25" s="30"/>
      <c r="B25" s="21" t="s">
        <v>101</v>
      </c>
      <c r="C25" s="38" t="s">
        <v>26</v>
      </c>
      <c r="D25" s="22" t="s">
        <v>102</v>
      </c>
      <c r="E25" s="22" t="s">
        <v>2</v>
      </c>
      <c r="F25" s="22" t="s">
        <v>35</v>
      </c>
      <c r="G25" s="22" t="s">
        <v>102</v>
      </c>
      <c r="H25" s="22" t="s">
        <v>103</v>
      </c>
      <c r="I25" s="22"/>
      <c r="J25" s="22"/>
      <c r="K25" s="22">
        <v>1</v>
      </c>
      <c r="L25" s="22"/>
      <c r="M25" s="22" t="s">
        <v>17</v>
      </c>
      <c r="N25" s="23" t="s">
        <v>18</v>
      </c>
    </row>
    <row r="26" spans="1:14" s="32" customFormat="1" ht="77.5">
      <c r="A26" s="30"/>
      <c r="B26" s="21" t="s">
        <v>104</v>
      </c>
      <c r="C26" s="38" t="s">
        <v>14</v>
      </c>
      <c r="D26" s="22" t="s">
        <v>105</v>
      </c>
      <c r="E26" s="22" t="s">
        <v>2</v>
      </c>
      <c r="F26" s="22" t="s">
        <v>35</v>
      </c>
      <c r="G26" s="22" t="s">
        <v>105</v>
      </c>
      <c r="H26" s="22" t="s">
        <v>106</v>
      </c>
      <c r="I26" s="22"/>
      <c r="J26" s="22"/>
      <c r="K26" s="22">
        <v>13</v>
      </c>
      <c r="L26" s="22" t="s">
        <v>107</v>
      </c>
      <c r="M26" s="22" t="s">
        <v>17</v>
      </c>
      <c r="N26" s="23" t="s">
        <v>18</v>
      </c>
    </row>
    <row r="27" spans="1:14" s="32" customFormat="1" ht="28" customHeight="1">
      <c r="A27" s="30"/>
      <c r="B27" s="21" t="s">
        <v>108</v>
      </c>
      <c r="C27" s="38" t="s">
        <v>14</v>
      </c>
      <c r="D27" s="22" t="s">
        <v>105</v>
      </c>
      <c r="E27" s="22" t="s">
        <v>41</v>
      </c>
      <c r="F27" s="22" t="s">
        <v>42</v>
      </c>
      <c r="G27" s="22" t="s">
        <v>109</v>
      </c>
      <c r="H27" s="22" t="s">
        <v>106</v>
      </c>
      <c r="I27" s="22"/>
      <c r="J27" s="22" t="s">
        <v>110</v>
      </c>
      <c r="K27" s="22">
        <v>1</v>
      </c>
      <c r="L27" s="22"/>
      <c r="M27" s="22" t="s">
        <v>17</v>
      </c>
      <c r="N27" s="23" t="s">
        <v>18</v>
      </c>
    </row>
    <row r="28" spans="1:14" s="32" customFormat="1" ht="28" customHeight="1">
      <c r="A28" s="30"/>
      <c r="B28" s="21" t="s">
        <v>111</v>
      </c>
      <c r="C28" s="38" t="s">
        <v>14</v>
      </c>
      <c r="D28" s="22" t="s">
        <v>105</v>
      </c>
      <c r="E28" s="22" t="s">
        <v>41</v>
      </c>
      <c r="F28" s="22" t="s">
        <v>42</v>
      </c>
      <c r="G28" s="22" t="s">
        <v>112</v>
      </c>
      <c r="H28" s="22" t="s">
        <v>106</v>
      </c>
      <c r="I28" s="22"/>
      <c r="J28" s="22" t="s">
        <v>113</v>
      </c>
      <c r="K28" s="22">
        <v>1</v>
      </c>
      <c r="L28" s="22" t="s">
        <v>114</v>
      </c>
      <c r="M28" s="22" t="s">
        <v>17</v>
      </c>
      <c r="N28" s="23" t="s">
        <v>18</v>
      </c>
    </row>
    <row r="29" spans="1:14" s="32" customFormat="1" ht="28" customHeight="1">
      <c r="A29" s="30"/>
      <c r="B29" s="21" t="s">
        <v>115</v>
      </c>
      <c r="C29" s="38" t="s">
        <v>14</v>
      </c>
      <c r="D29" s="22" t="s">
        <v>105</v>
      </c>
      <c r="E29" s="22" t="s">
        <v>41</v>
      </c>
      <c r="F29" s="22" t="s">
        <v>42</v>
      </c>
      <c r="G29" s="22" t="s">
        <v>116</v>
      </c>
      <c r="H29" s="22" t="s">
        <v>106</v>
      </c>
      <c r="I29" s="22"/>
      <c r="J29" s="22" t="s">
        <v>117</v>
      </c>
      <c r="K29" s="22">
        <v>1</v>
      </c>
      <c r="L29" s="22" t="s">
        <v>118</v>
      </c>
      <c r="M29" s="22" t="s">
        <v>17</v>
      </c>
      <c r="N29" s="23" t="s">
        <v>18</v>
      </c>
    </row>
    <row r="30" spans="1:14" s="32" customFormat="1" ht="28" customHeight="1">
      <c r="A30" s="30"/>
      <c r="B30" s="21" t="s">
        <v>119</v>
      </c>
      <c r="C30" s="38" t="s">
        <v>14</v>
      </c>
      <c r="D30" s="22" t="s">
        <v>105</v>
      </c>
      <c r="E30" s="22" t="s">
        <v>41</v>
      </c>
      <c r="F30" s="22" t="s">
        <v>42</v>
      </c>
      <c r="G30" s="22" t="s">
        <v>120</v>
      </c>
      <c r="H30" s="22" t="s">
        <v>106</v>
      </c>
      <c r="I30" s="22"/>
      <c r="J30" s="22" t="s">
        <v>121</v>
      </c>
      <c r="K30" s="22">
        <v>1</v>
      </c>
      <c r="L30" s="22" t="s">
        <v>122</v>
      </c>
      <c r="M30" s="22" t="s">
        <v>17</v>
      </c>
      <c r="N30" s="23" t="s">
        <v>18</v>
      </c>
    </row>
    <row r="31" spans="1:14" s="32" customFormat="1" ht="28" customHeight="1">
      <c r="A31" s="30"/>
      <c r="B31" s="21" t="s">
        <v>123</v>
      </c>
      <c r="C31" s="38" t="s">
        <v>14</v>
      </c>
      <c r="D31" s="22" t="s">
        <v>105</v>
      </c>
      <c r="E31" s="22" t="s">
        <v>41</v>
      </c>
      <c r="F31" s="22" t="s">
        <v>42</v>
      </c>
      <c r="G31" s="22" t="s">
        <v>124</v>
      </c>
      <c r="H31" s="22" t="s">
        <v>106</v>
      </c>
      <c r="I31" s="22"/>
      <c r="J31" s="22" t="s">
        <v>125</v>
      </c>
      <c r="K31" s="22">
        <v>1</v>
      </c>
      <c r="L31" s="22" t="s">
        <v>126</v>
      </c>
      <c r="M31" s="22" t="s">
        <v>17</v>
      </c>
      <c r="N31" s="23" t="s">
        <v>18</v>
      </c>
    </row>
    <row r="32" spans="1:14" s="32" customFormat="1" ht="28" customHeight="1">
      <c r="A32" s="30"/>
      <c r="B32" s="21" t="s">
        <v>127</v>
      </c>
      <c r="C32" s="38" t="s">
        <v>14</v>
      </c>
      <c r="D32" s="22" t="s">
        <v>105</v>
      </c>
      <c r="E32" s="22" t="s">
        <v>41</v>
      </c>
      <c r="F32" s="22" t="s">
        <v>42</v>
      </c>
      <c r="G32" s="22" t="s">
        <v>128</v>
      </c>
      <c r="H32" s="22" t="s">
        <v>106</v>
      </c>
      <c r="I32" s="22"/>
      <c r="J32" s="22" t="s">
        <v>129</v>
      </c>
      <c r="K32" s="22">
        <v>1</v>
      </c>
      <c r="L32" s="22"/>
      <c r="M32" s="22" t="s">
        <v>17</v>
      </c>
      <c r="N32" s="23" t="s">
        <v>18</v>
      </c>
    </row>
    <row r="33" spans="1:14" s="32" customFormat="1" ht="28" customHeight="1">
      <c r="A33" s="30"/>
      <c r="B33" s="21" t="s">
        <v>130</v>
      </c>
      <c r="C33" s="38" t="s">
        <v>14</v>
      </c>
      <c r="D33" s="22" t="s">
        <v>105</v>
      </c>
      <c r="E33" s="22" t="s">
        <v>41</v>
      </c>
      <c r="F33" s="22" t="s">
        <v>42</v>
      </c>
      <c r="G33" s="22" t="s">
        <v>131</v>
      </c>
      <c r="H33" s="22" t="s">
        <v>106</v>
      </c>
      <c r="I33" s="22"/>
      <c r="J33" s="22" t="s">
        <v>132</v>
      </c>
      <c r="K33" s="22">
        <v>1</v>
      </c>
      <c r="L33" s="22" t="s">
        <v>133</v>
      </c>
      <c r="M33" s="22" t="s">
        <v>17</v>
      </c>
      <c r="N33" s="23" t="s">
        <v>18</v>
      </c>
    </row>
    <row r="34" spans="1:14" s="32" customFormat="1" ht="28" customHeight="1">
      <c r="A34" s="30"/>
      <c r="B34" s="21" t="s">
        <v>134</v>
      </c>
      <c r="C34" s="38" t="s">
        <v>14</v>
      </c>
      <c r="D34" s="22" t="s">
        <v>105</v>
      </c>
      <c r="E34" s="22" t="s">
        <v>41</v>
      </c>
      <c r="F34" s="22" t="s">
        <v>42</v>
      </c>
      <c r="G34" s="22" t="s">
        <v>135</v>
      </c>
      <c r="H34" s="22" t="s">
        <v>106</v>
      </c>
      <c r="I34" s="22"/>
      <c r="J34" s="22" t="s">
        <v>136</v>
      </c>
      <c r="K34" s="22">
        <v>1</v>
      </c>
      <c r="L34" s="22" t="s">
        <v>137</v>
      </c>
      <c r="M34" s="22" t="s">
        <v>17</v>
      </c>
      <c r="N34" s="23" t="s">
        <v>18</v>
      </c>
    </row>
    <row r="35" spans="1:14" s="32" customFormat="1" ht="42" customHeight="1">
      <c r="A35" s="30"/>
      <c r="B35" s="21" t="s">
        <v>138</v>
      </c>
      <c r="C35" s="38" t="s">
        <v>14</v>
      </c>
      <c r="D35" s="22" t="s">
        <v>105</v>
      </c>
      <c r="E35" s="22" t="s">
        <v>41</v>
      </c>
      <c r="F35" s="22" t="s">
        <v>42</v>
      </c>
      <c r="G35" s="22" t="s">
        <v>139</v>
      </c>
      <c r="H35" s="22" t="s">
        <v>106</v>
      </c>
      <c r="I35" s="22"/>
      <c r="J35" s="22" t="s">
        <v>140</v>
      </c>
      <c r="K35" s="22">
        <v>1</v>
      </c>
      <c r="L35" s="22" t="s">
        <v>141</v>
      </c>
      <c r="M35" s="22" t="s">
        <v>17</v>
      </c>
      <c r="N35" s="23" t="s">
        <v>18</v>
      </c>
    </row>
    <row r="36" spans="1:14" s="32" customFormat="1" ht="28" customHeight="1">
      <c r="A36" s="30"/>
      <c r="B36" s="21" t="s">
        <v>119</v>
      </c>
      <c r="C36" s="38" t="s">
        <v>14</v>
      </c>
      <c r="D36" s="22" t="s">
        <v>105</v>
      </c>
      <c r="E36" s="22" t="s">
        <v>41</v>
      </c>
      <c r="F36" s="22" t="s">
        <v>42</v>
      </c>
      <c r="G36" s="22" t="s">
        <v>142</v>
      </c>
      <c r="H36" s="22" t="s">
        <v>106</v>
      </c>
      <c r="I36" s="22"/>
      <c r="J36" s="22" t="s">
        <v>121</v>
      </c>
      <c r="K36" s="22">
        <v>1</v>
      </c>
      <c r="L36" s="22" t="s">
        <v>143</v>
      </c>
      <c r="M36" s="22" t="s">
        <v>17</v>
      </c>
      <c r="N36" s="23" t="s">
        <v>18</v>
      </c>
    </row>
    <row r="37" spans="1:14" s="32" customFormat="1" ht="28" customHeight="1">
      <c r="A37" s="30"/>
      <c r="B37" s="21" t="s">
        <v>144</v>
      </c>
      <c r="C37" s="38" t="s">
        <v>14</v>
      </c>
      <c r="D37" s="22" t="s">
        <v>105</v>
      </c>
      <c r="E37" s="22" t="s">
        <v>41</v>
      </c>
      <c r="F37" s="22" t="s">
        <v>42</v>
      </c>
      <c r="G37" s="22" t="s">
        <v>145</v>
      </c>
      <c r="H37" s="22" t="s">
        <v>106</v>
      </c>
      <c r="I37" s="22"/>
      <c r="J37" s="22" t="s">
        <v>146</v>
      </c>
      <c r="K37" s="22">
        <v>1</v>
      </c>
      <c r="L37" s="22" t="s">
        <v>147</v>
      </c>
      <c r="M37" s="22" t="s">
        <v>17</v>
      </c>
      <c r="N37" s="23" t="s">
        <v>18</v>
      </c>
    </row>
    <row r="38" spans="1:14" s="32" customFormat="1" ht="28" customHeight="1">
      <c r="A38" s="30"/>
      <c r="B38" s="21" t="s">
        <v>148</v>
      </c>
      <c r="C38" s="38" t="s">
        <v>14</v>
      </c>
      <c r="D38" s="22" t="s">
        <v>105</v>
      </c>
      <c r="E38" s="22" t="s">
        <v>41</v>
      </c>
      <c r="F38" s="22" t="s">
        <v>42</v>
      </c>
      <c r="G38" s="22" t="s">
        <v>149</v>
      </c>
      <c r="H38" s="22" t="s">
        <v>106</v>
      </c>
      <c r="I38" s="22"/>
      <c r="J38" s="22" t="s">
        <v>150</v>
      </c>
      <c r="K38" s="22">
        <v>1</v>
      </c>
      <c r="L38" s="22" t="s">
        <v>151</v>
      </c>
      <c r="M38" s="22" t="s">
        <v>17</v>
      </c>
      <c r="N38" s="23" t="s">
        <v>18</v>
      </c>
    </row>
    <row r="39" spans="1:14" s="32" customFormat="1" ht="28" customHeight="1">
      <c r="A39" s="30"/>
      <c r="B39" s="21" t="s">
        <v>152</v>
      </c>
      <c r="C39" s="38" t="s">
        <v>23</v>
      </c>
      <c r="D39" s="22" t="s">
        <v>153</v>
      </c>
      <c r="E39" s="22" t="s">
        <v>2</v>
      </c>
      <c r="F39" s="22" t="s">
        <v>35</v>
      </c>
      <c r="G39" s="22" t="s">
        <v>153</v>
      </c>
      <c r="H39" s="22" t="s">
        <v>154</v>
      </c>
      <c r="I39" s="22"/>
      <c r="J39" s="22"/>
      <c r="K39" s="22">
        <v>5</v>
      </c>
      <c r="L39" s="22"/>
      <c r="M39" s="22" t="s">
        <v>17</v>
      </c>
      <c r="N39" s="23" t="s">
        <v>18</v>
      </c>
    </row>
    <row r="40" spans="1:14" s="32" customFormat="1" ht="42" customHeight="1">
      <c r="A40" s="30"/>
      <c r="B40" s="21" t="s">
        <v>155</v>
      </c>
      <c r="C40" s="38" t="s">
        <v>23</v>
      </c>
      <c r="D40" s="22" t="s">
        <v>153</v>
      </c>
      <c r="E40" s="22" t="s">
        <v>41</v>
      </c>
      <c r="F40" s="22" t="s">
        <v>42</v>
      </c>
      <c r="G40" s="22" t="s">
        <v>156</v>
      </c>
      <c r="H40" s="22" t="s">
        <v>154</v>
      </c>
      <c r="I40" s="22"/>
      <c r="J40" s="22" t="s">
        <v>157</v>
      </c>
      <c r="K40" s="22">
        <v>1</v>
      </c>
      <c r="L40" s="22" t="s">
        <v>158</v>
      </c>
      <c r="M40" s="22" t="s">
        <v>17</v>
      </c>
      <c r="N40" s="23" t="s">
        <v>18</v>
      </c>
    </row>
    <row r="41" spans="1:14" s="32" customFormat="1" ht="28" customHeight="1">
      <c r="A41" s="30"/>
      <c r="B41" s="21" t="s">
        <v>159</v>
      </c>
      <c r="C41" s="38" t="s">
        <v>23</v>
      </c>
      <c r="D41" s="22" t="s">
        <v>153</v>
      </c>
      <c r="E41" s="22" t="s">
        <v>41</v>
      </c>
      <c r="F41" s="22" t="s">
        <v>42</v>
      </c>
      <c r="G41" s="22" t="s">
        <v>160</v>
      </c>
      <c r="H41" s="22" t="s">
        <v>154</v>
      </c>
      <c r="I41" s="22"/>
      <c r="J41" s="22" t="s">
        <v>161</v>
      </c>
      <c r="K41" s="22">
        <v>1</v>
      </c>
      <c r="L41" s="22" t="s">
        <v>162</v>
      </c>
      <c r="M41" s="22" t="s">
        <v>17</v>
      </c>
      <c r="N41" s="23" t="s">
        <v>18</v>
      </c>
    </row>
    <row r="42" spans="1:14" s="32" customFormat="1" ht="28" customHeight="1">
      <c r="A42" s="30"/>
      <c r="B42" s="21" t="s">
        <v>163</v>
      </c>
      <c r="C42" s="38" t="s">
        <v>23</v>
      </c>
      <c r="D42" s="22" t="s">
        <v>153</v>
      </c>
      <c r="E42" s="22" t="s">
        <v>41</v>
      </c>
      <c r="F42" s="22" t="s">
        <v>42</v>
      </c>
      <c r="G42" s="22" t="s">
        <v>164</v>
      </c>
      <c r="H42" s="22" t="s">
        <v>154</v>
      </c>
      <c r="I42" s="22"/>
      <c r="J42" s="22" t="s">
        <v>165</v>
      </c>
      <c r="K42" s="22">
        <v>1</v>
      </c>
      <c r="L42" s="22" t="s">
        <v>166</v>
      </c>
      <c r="M42" s="22" t="s">
        <v>17</v>
      </c>
      <c r="N42" s="23" t="s">
        <v>18</v>
      </c>
    </row>
    <row r="43" spans="1:14" s="32" customFormat="1" ht="28" customHeight="1">
      <c r="A43" s="30"/>
      <c r="B43" s="21" t="s">
        <v>167</v>
      </c>
      <c r="C43" s="38" t="s">
        <v>23</v>
      </c>
      <c r="D43" s="22" t="s">
        <v>153</v>
      </c>
      <c r="E43" s="22" t="s">
        <v>41</v>
      </c>
      <c r="F43" s="22" t="s">
        <v>42</v>
      </c>
      <c r="G43" s="22" t="s">
        <v>168</v>
      </c>
      <c r="H43" s="22" t="s">
        <v>154</v>
      </c>
      <c r="I43" s="22"/>
      <c r="J43" s="22" t="s">
        <v>169</v>
      </c>
      <c r="K43" s="22">
        <v>1</v>
      </c>
      <c r="L43" s="22" t="s">
        <v>170</v>
      </c>
      <c r="M43" s="22" t="s">
        <v>17</v>
      </c>
      <c r="N43" s="23" t="s">
        <v>18</v>
      </c>
    </row>
    <row r="44" spans="1:14" s="32" customFormat="1" ht="28" customHeight="1">
      <c r="A44" s="30"/>
      <c r="B44" s="21" t="s">
        <v>171</v>
      </c>
      <c r="C44" s="38" t="s">
        <v>26</v>
      </c>
      <c r="D44" s="22" t="s">
        <v>172</v>
      </c>
      <c r="E44" s="22" t="s">
        <v>2</v>
      </c>
      <c r="F44" s="22" t="s">
        <v>35</v>
      </c>
      <c r="G44" s="22" t="s">
        <v>172</v>
      </c>
      <c r="H44" s="22" t="s">
        <v>173</v>
      </c>
      <c r="I44" s="22"/>
      <c r="J44" s="22"/>
      <c r="K44" s="22">
        <v>1</v>
      </c>
      <c r="L44" s="22"/>
      <c r="M44" s="22" t="s">
        <v>17</v>
      </c>
      <c r="N44" s="23" t="s">
        <v>18</v>
      </c>
    </row>
    <row r="45" spans="1:14" ht="28" customHeight="1">
      <c r="B45" s="5" t="s">
        <v>174</v>
      </c>
      <c r="C45" s="6" t="s">
        <v>26</v>
      </c>
      <c r="D45" s="7" t="s">
        <v>175</v>
      </c>
      <c r="E45" s="7" t="s">
        <v>2</v>
      </c>
      <c r="F45" s="7" t="s">
        <v>35</v>
      </c>
      <c r="G45" s="7" t="s">
        <v>175</v>
      </c>
      <c r="H45" s="7" t="s">
        <v>176</v>
      </c>
      <c r="I45" s="7"/>
      <c r="J45" s="7"/>
      <c r="K45" s="7">
        <v>1</v>
      </c>
      <c r="L45" s="7"/>
      <c r="M45" s="7" t="s">
        <v>17</v>
      </c>
      <c r="N45" s="8" t="s">
        <v>18</v>
      </c>
    </row>
    <row r="46" spans="1:14" ht="28" customHeight="1">
      <c r="B46" s="5" t="s">
        <v>177</v>
      </c>
      <c r="C46" s="6" t="s">
        <v>14</v>
      </c>
      <c r="D46" s="7" t="s">
        <v>178</v>
      </c>
      <c r="E46" s="7" t="s">
        <v>2</v>
      </c>
      <c r="F46" s="7" t="s">
        <v>35</v>
      </c>
      <c r="G46" s="7" t="s">
        <v>178</v>
      </c>
      <c r="H46" s="7" t="s">
        <v>179</v>
      </c>
      <c r="I46" s="7"/>
      <c r="J46" s="7"/>
      <c r="K46" s="7">
        <v>1</v>
      </c>
      <c r="L46" s="7" t="s">
        <v>180</v>
      </c>
      <c r="M46" s="7" t="s">
        <v>17</v>
      </c>
      <c r="N46" s="8" t="s">
        <v>18</v>
      </c>
    </row>
    <row r="47" spans="1:14" ht="56" customHeight="1">
      <c r="B47" s="5" t="s">
        <v>181</v>
      </c>
      <c r="C47" s="6" t="s">
        <v>32</v>
      </c>
      <c r="D47" s="7" t="s">
        <v>182</v>
      </c>
      <c r="E47" s="7" t="s">
        <v>2</v>
      </c>
      <c r="F47" s="7" t="s">
        <v>35</v>
      </c>
      <c r="G47" s="7" t="s">
        <v>182</v>
      </c>
      <c r="H47" s="7" t="s">
        <v>183</v>
      </c>
      <c r="I47" s="7"/>
      <c r="J47" s="7"/>
      <c r="K47" s="7">
        <v>9</v>
      </c>
      <c r="L47" s="7" t="s">
        <v>184</v>
      </c>
      <c r="M47" s="7" t="s">
        <v>17</v>
      </c>
      <c r="N47" s="8" t="s">
        <v>18</v>
      </c>
    </row>
    <row r="48" spans="1:14" ht="28" customHeight="1">
      <c r="B48" s="5" t="s">
        <v>185</v>
      </c>
      <c r="C48" s="6" t="s">
        <v>32</v>
      </c>
      <c r="D48" s="7" t="s">
        <v>182</v>
      </c>
      <c r="E48" s="7" t="s">
        <v>41</v>
      </c>
      <c r="F48" s="7" t="s">
        <v>42</v>
      </c>
      <c r="G48" s="7" t="s">
        <v>186</v>
      </c>
      <c r="H48" s="7" t="s">
        <v>183</v>
      </c>
      <c r="I48" s="7"/>
      <c r="J48" s="7" t="s">
        <v>187</v>
      </c>
      <c r="K48" s="7">
        <v>1</v>
      </c>
      <c r="L48" s="7" t="s">
        <v>188</v>
      </c>
      <c r="M48" s="7" t="s">
        <v>17</v>
      </c>
      <c r="N48" s="8" t="s">
        <v>18</v>
      </c>
    </row>
    <row r="49" spans="2:14" ht="28" customHeight="1">
      <c r="B49" s="5" t="s">
        <v>189</v>
      </c>
      <c r="C49" s="6" t="s">
        <v>32</v>
      </c>
      <c r="D49" s="7" t="s">
        <v>182</v>
      </c>
      <c r="E49" s="7" t="s">
        <v>41</v>
      </c>
      <c r="F49" s="7" t="s">
        <v>42</v>
      </c>
      <c r="G49" s="7" t="s">
        <v>190</v>
      </c>
      <c r="H49" s="7" t="s">
        <v>183</v>
      </c>
      <c r="I49" s="7"/>
      <c r="J49" s="7" t="s">
        <v>191</v>
      </c>
      <c r="K49" s="7">
        <v>1</v>
      </c>
      <c r="L49" s="7" t="s">
        <v>192</v>
      </c>
      <c r="M49" s="7" t="s">
        <v>17</v>
      </c>
      <c r="N49" s="8" t="s">
        <v>18</v>
      </c>
    </row>
    <row r="50" spans="2:14" ht="28" customHeight="1">
      <c r="B50" s="5" t="s">
        <v>193</v>
      </c>
      <c r="C50" s="6" t="s">
        <v>32</v>
      </c>
      <c r="D50" s="7" t="s">
        <v>182</v>
      </c>
      <c r="E50" s="7" t="s">
        <v>41</v>
      </c>
      <c r="F50" s="7" t="s">
        <v>42</v>
      </c>
      <c r="G50" s="7" t="s">
        <v>194</v>
      </c>
      <c r="H50" s="7" t="s">
        <v>183</v>
      </c>
      <c r="I50" s="7"/>
      <c r="J50" s="7" t="s">
        <v>195</v>
      </c>
      <c r="K50" s="7">
        <v>1</v>
      </c>
      <c r="L50" s="7" t="s">
        <v>196</v>
      </c>
      <c r="M50" s="7" t="s">
        <v>17</v>
      </c>
      <c r="N50" s="8" t="s">
        <v>18</v>
      </c>
    </row>
    <row r="51" spans="2:14" ht="28" customHeight="1">
      <c r="B51" s="5" t="s">
        <v>197</v>
      </c>
      <c r="C51" s="6" t="s">
        <v>32</v>
      </c>
      <c r="D51" s="7" t="s">
        <v>182</v>
      </c>
      <c r="E51" s="7" t="s">
        <v>41</v>
      </c>
      <c r="F51" s="7" t="s">
        <v>42</v>
      </c>
      <c r="G51" s="7" t="s">
        <v>198</v>
      </c>
      <c r="H51" s="7" t="s">
        <v>183</v>
      </c>
      <c r="I51" s="7"/>
      <c r="J51" s="7" t="s">
        <v>199</v>
      </c>
      <c r="K51" s="7">
        <v>1</v>
      </c>
      <c r="L51" s="7" t="s">
        <v>200</v>
      </c>
      <c r="M51" s="7" t="s">
        <v>17</v>
      </c>
      <c r="N51" s="8" t="s">
        <v>18</v>
      </c>
    </row>
    <row r="52" spans="2:14" ht="28" customHeight="1">
      <c r="B52" s="5" t="s">
        <v>201</v>
      </c>
      <c r="C52" s="6" t="s">
        <v>32</v>
      </c>
      <c r="D52" s="7" t="s">
        <v>182</v>
      </c>
      <c r="E52" s="7" t="s">
        <v>41</v>
      </c>
      <c r="F52" s="7" t="s">
        <v>42</v>
      </c>
      <c r="G52" s="7" t="s">
        <v>202</v>
      </c>
      <c r="H52" s="7" t="s">
        <v>183</v>
      </c>
      <c r="I52" s="7"/>
      <c r="J52" s="7" t="s">
        <v>203</v>
      </c>
      <c r="K52" s="7">
        <v>1</v>
      </c>
      <c r="L52" s="7" t="s">
        <v>204</v>
      </c>
      <c r="M52" s="7" t="s">
        <v>17</v>
      </c>
      <c r="N52" s="8" t="s">
        <v>18</v>
      </c>
    </row>
    <row r="53" spans="2:14" ht="28" customHeight="1">
      <c r="B53" s="5" t="s">
        <v>205</v>
      </c>
      <c r="C53" s="6" t="s">
        <v>32</v>
      </c>
      <c r="D53" s="7" t="s">
        <v>182</v>
      </c>
      <c r="E53" s="7" t="s">
        <v>41</v>
      </c>
      <c r="F53" s="7" t="s">
        <v>42</v>
      </c>
      <c r="G53" s="7" t="s">
        <v>206</v>
      </c>
      <c r="H53" s="7" t="s">
        <v>183</v>
      </c>
      <c r="I53" s="7"/>
      <c r="J53" s="7" t="s">
        <v>207</v>
      </c>
      <c r="K53" s="7">
        <v>1</v>
      </c>
      <c r="L53" s="7" t="s">
        <v>208</v>
      </c>
      <c r="M53" s="7" t="s">
        <v>17</v>
      </c>
      <c r="N53" s="8" t="s">
        <v>18</v>
      </c>
    </row>
    <row r="54" spans="2:14" ht="28" customHeight="1">
      <c r="B54" s="5" t="s">
        <v>209</v>
      </c>
      <c r="C54" s="6" t="s">
        <v>32</v>
      </c>
      <c r="D54" s="7" t="s">
        <v>182</v>
      </c>
      <c r="E54" s="7" t="s">
        <v>41</v>
      </c>
      <c r="F54" s="7" t="s">
        <v>42</v>
      </c>
      <c r="G54" s="7" t="s">
        <v>210</v>
      </c>
      <c r="H54" s="7" t="s">
        <v>183</v>
      </c>
      <c r="I54" s="7"/>
      <c r="J54" s="7" t="s">
        <v>211</v>
      </c>
      <c r="K54" s="7">
        <v>1</v>
      </c>
      <c r="L54" s="7" t="s">
        <v>212</v>
      </c>
      <c r="M54" s="7" t="s">
        <v>17</v>
      </c>
      <c r="N54" s="8" t="s">
        <v>18</v>
      </c>
    </row>
    <row r="55" spans="2:14" ht="28" customHeight="1">
      <c r="B55" s="5" t="s">
        <v>213</v>
      </c>
      <c r="C55" s="6" t="s">
        <v>32</v>
      </c>
      <c r="D55" s="7" t="s">
        <v>182</v>
      </c>
      <c r="E55" s="7" t="s">
        <v>41</v>
      </c>
      <c r="F55" s="7" t="s">
        <v>42</v>
      </c>
      <c r="G55" s="7" t="s">
        <v>98</v>
      </c>
      <c r="H55" s="7" t="s">
        <v>183</v>
      </c>
      <c r="I55" s="7"/>
      <c r="J55" s="7" t="s">
        <v>99</v>
      </c>
      <c r="K55" s="7">
        <v>1</v>
      </c>
      <c r="L55" s="7" t="s">
        <v>100</v>
      </c>
      <c r="M55" s="7" t="s">
        <v>17</v>
      </c>
      <c r="N55" s="8" t="s">
        <v>18</v>
      </c>
    </row>
    <row r="56" spans="2:14" ht="28" customHeight="1">
      <c r="B56" s="5" t="s">
        <v>214</v>
      </c>
      <c r="C56" s="6" t="s">
        <v>29</v>
      </c>
      <c r="D56" s="7" t="s">
        <v>215</v>
      </c>
      <c r="E56" s="7" t="s">
        <v>2</v>
      </c>
      <c r="F56" s="7" t="s">
        <v>35</v>
      </c>
      <c r="G56" s="7" t="s">
        <v>215</v>
      </c>
      <c r="H56" s="7" t="s">
        <v>216</v>
      </c>
      <c r="I56" s="7"/>
      <c r="J56" s="7"/>
      <c r="K56" s="7">
        <v>9</v>
      </c>
      <c r="L56" s="7" t="s">
        <v>217</v>
      </c>
      <c r="M56" s="7" t="s">
        <v>17</v>
      </c>
      <c r="N56" s="8" t="s">
        <v>18</v>
      </c>
    </row>
    <row r="57" spans="2:14" ht="28" customHeight="1">
      <c r="B57" s="5" t="s">
        <v>218</v>
      </c>
      <c r="C57" s="6" t="s">
        <v>29</v>
      </c>
      <c r="D57" s="7" t="s">
        <v>215</v>
      </c>
      <c r="E57" s="7" t="s">
        <v>41</v>
      </c>
      <c r="F57" s="7" t="s">
        <v>42</v>
      </c>
      <c r="G57" s="7" t="s">
        <v>219</v>
      </c>
      <c r="H57" s="7" t="s">
        <v>216</v>
      </c>
      <c r="I57" s="7"/>
      <c r="J57" s="7" t="s">
        <v>220</v>
      </c>
      <c r="K57" s="7">
        <v>1</v>
      </c>
      <c r="L57" s="7" t="s">
        <v>221</v>
      </c>
      <c r="M57" s="7" t="s">
        <v>17</v>
      </c>
      <c r="N57" s="8" t="s">
        <v>18</v>
      </c>
    </row>
    <row r="58" spans="2:14" ht="28" customHeight="1">
      <c r="B58" s="5" t="s">
        <v>222</v>
      </c>
      <c r="C58" s="6" t="s">
        <v>29</v>
      </c>
      <c r="D58" s="7" t="s">
        <v>215</v>
      </c>
      <c r="E58" s="7" t="s">
        <v>41</v>
      </c>
      <c r="F58" s="7" t="s">
        <v>42</v>
      </c>
      <c r="G58" s="7" t="s">
        <v>223</v>
      </c>
      <c r="H58" s="7" t="s">
        <v>216</v>
      </c>
      <c r="I58" s="7"/>
      <c r="J58" s="7" t="s">
        <v>224</v>
      </c>
      <c r="K58" s="7">
        <v>1</v>
      </c>
      <c r="L58" s="7" t="s">
        <v>225</v>
      </c>
      <c r="M58" s="7" t="s">
        <v>17</v>
      </c>
      <c r="N58" s="8" t="s">
        <v>18</v>
      </c>
    </row>
    <row r="59" spans="2:14" ht="42" customHeight="1">
      <c r="B59" s="5" t="s">
        <v>226</v>
      </c>
      <c r="C59" s="6" t="s">
        <v>29</v>
      </c>
      <c r="D59" s="7" t="s">
        <v>215</v>
      </c>
      <c r="E59" s="7" t="s">
        <v>41</v>
      </c>
      <c r="F59" s="7" t="s">
        <v>42</v>
      </c>
      <c r="G59" s="7" t="s">
        <v>227</v>
      </c>
      <c r="H59" s="7" t="s">
        <v>216</v>
      </c>
      <c r="I59" s="7"/>
      <c r="J59" s="7" t="s">
        <v>228</v>
      </c>
      <c r="K59" s="7">
        <v>1</v>
      </c>
      <c r="L59" s="7" t="s">
        <v>229</v>
      </c>
      <c r="M59" s="7" t="s">
        <v>17</v>
      </c>
      <c r="N59" s="8" t="s">
        <v>18</v>
      </c>
    </row>
    <row r="60" spans="2:14" ht="42" customHeight="1">
      <c r="B60" s="5" t="s">
        <v>230</v>
      </c>
      <c r="C60" s="6" t="s">
        <v>29</v>
      </c>
      <c r="D60" s="7" t="s">
        <v>215</v>
      </c>
      <c r="E60" s="7" t="s">
        <v>41</v>
      </c>
      <c r="F60" s="7" t="s">
        <v>42</v>
      </c>
      <c r="G60" s="7" t="s">
        <v>231</v>
      </c>
      <c r="H60" s="7" t="s">
        <v>216</v>
      </c>
      <c r="I60" s="7"/>
      <c r="J60" s="7" t="s">
        <v>232</v>
      </c>
      <c r="K60" s="7">
        <v>1</v>
      </c>
      <c r="L60" s="7" t="s">
        <v>233</v>
      </c>
      <c r="M60" s="7" t="s">
        <v>17</v>
      </c>
      <c r="N60" s="8" t="s">
        <v>18</v>
      </c>
    </row>
    <row r="61" spans="2:14" ht="28" customHeight="1">
      <c r="B61" s="5" t="s">
        <v>234</v>
      </c>
      <c r="C61" s="6" t="s">
        <v>29</v>
      </c>
      <c r="D61" s="7" t="s">
        <v>215</v>
      </c>
      <c r="E61" s="7" t="s">
        <v>41</v>
      </c>
      <c r="F61" s="7" t="s">
        <v>42</v>
      </c>
      <c r="G61" s="7" t="s">
        <v>235</v>
      </c>
      <c r="H61" s="7" t="s">
        <v>216</v>
      </c>
      <c r="I61" s="7"/>
      <c r="J61" s="7" t="s">
        <v>236</v>
      </c>
      <c r="K61" s="7">
        <v>1</v>
      </c>
      <c r="L61" s="7" t="s">
        <v>237</v>
      </c>
      <c r="M61" s="7" t="s">
        <v>17</v>
      </c>
      <c r="N61" s="8" t="s">
        <v>18</v>
      </c>
    </row>
    <row r="62" spans="2:14" ht="28" customHeight="1">
      <c r="B62" s="5" t="s">
        <v>238</v>
      </c>
      <c r="C62" s="6" t="s">
        <v>29</v>
      </c>
      <c r="D62" s="7" t="s">
        <v>215</v>
      </c>
      <c r="E62" s="7" t="s">
        <v>41</v>
      </c>
      <c r="F62" s="7" t="s">
        <v>42</v>
      </c>
      <c r="G62" s="7" t="s">
        <v>239</v>
      </c>
      <c r="H62" s="7" t="s">
        <v>216</v>
      </c>
      <c r="I62" s="7"/>
      <c r="J62" s="7" t="s">
        <v>240</v>
      </c>
      <c r="K62" s="7">
        <v>1</v>
      </c>
      <c r="L62" s="7" t="s">
        <v>241</v>
      </c>
      <c r="M62" s="7" t="s">
        <v>17</v>
      </c>
      <c r="N62" s="8" t="s">
        <v>18</v>
      </c>
    </row>
    <row r="63" spans="2:14" ht="28" customHeight="1">
      <c r="B63" s="5" t="s">
        <v>242</v>
      </c>
      <c r="C63" s="6" t="s">
        <v>29</v>
      </c>
      <c r="D63" s="7" t="s">
        <v>215</v>
      </c>
      <c r="E63" s="7" t="s">
        <v>41</v>
      </c>
      <c r="F63" s="7" t="s">
        <v>42</v>
      </c>
      <c r="G63" s="7" t="s">
        <v>243</v>
      </c>
      <c r="H63" s="7" t="s">
        <v>216</v>
      </c>
      <c r="I63" s="7"/>
      <c r="J63" s="7" t="s">
        <v>244</v>
      </c>
      <c r="K63" s="7">
        <v>1</v>
      </c>
      <c r="L63" s="7" t="s">
        <v>245</v>
      </c>
      <c r="M63" s="7" t="s">
        <v>17</v>
      </c>
      <c r="N63" s="8" t="s">
        <v>18</v>
      </c>
    </row>
    <row r="64" spans="2:14" ht="28" customHeight="1">
      <c r="B64" s="5" t="s">
        <v>246</v>
      </c>
      <c r="C64" s="6" t="s">
        <v>29</v>
      </c>
      <c r="D64" s="7" t="s">
        <v>215</v>
      </c>
      <c r="E64" s="7" t="s">
        <v>41</v>
      </c>
      <c r="F64" s="7" t="s">
        <v>42</v>
      </c>
      <c r="G64" s="7" t="s">
        <v>34</v>
      </c>
      <c r="H64" s="7" t="s">
        <v>216</v>
      </c>
      <c r="I64" s="7"/>
      <c r="J64" s="7" t="s">
        <v>36</v>
      </c>
      <c r="K64" s="7">
        <v>1</v>
      </c>
      <c r="L64" s="7" t="s">
        <v>247</v>
      </c>
      <c r="M64" s="7" t="s">
        <v>17</v>
      </c>
      <c r="N64" s="8" t="s">
        <v>18</v>
      </c>
    </row>
    <row r="65" spans="2:14" ht="28" customHeight="1">
      <c r="B65" s="5" t="s">
        <v>248</v>
      </c>
      <c r="C65" s="6" t="s">
        <v>14</v>
      </c>
      <c r="D65" s="7" t="s">
        <v>249</v>
      </c>
      <c r="E65" s="7" t="s">
        <v>2</v>
      </c>
      <c r="F65" s="7" t="s">
        <v>35</v>
      </c>
      <c r="G65" s="7" t="s">
        <v>249</v>
      </c>
      <c r="H65" s="7" t="s">
        <v>250</v>
      </c>
      <c r="I65" s="7"/>
      <c r="J65" s="7"/>
      <c r="K65" s="7">
        <v>3</v>
      </c>
      <c r="L65" s="7"/>
      <c r="M65" s="7" t="s">
        <v>17</v>
      </c>
      <c r="N65" s="8" t="s">
        <v>18</v>
      </c>
    </row>
    <row r="66" spans="2:14" ht="28" customHeight="1">
      <c r="B66" s="5" t="s">
        <v>251</v>
      </c>
      <c r="C66" s="6" t="s">
        <v>14</v>
      </c>
      <c r="D66" s="7" t="s">
        <v>252</v>
      </c>
      <c r="E66" s="7" t="s">
        <v>2</v>
      </c>
      <c r="F66" s="7" t="s">
        <v>35</v>
      </c>
      <c r="G66" s="7" t="s">
        <v>252</v>
      </c>
      <c r="H66" s="7" t="s">
        <v>253</v>
      </c>
      <c r="I66" s="7"/>
      <c r="J66" s="7"/>
      <c r="K66" s="7">
        <v>7</v>
      </c>
      <c r="L66" s="7"/>
      <c r="M66" s="7" t="s">
        <v>17</v>
      </c>
      <c r="N66" s="8" t="s">
        <v>18</v>
      </c>
    </row>
    <row r="67" spans="2:14" ht="28" customHeight="1">
      <c r="B67" s="5" t="s">
        <v>254</v>
      </c>
      <c r="C67" s="6" t="s">
        <v>14</v>
      </c>
      <c r="D67" s="7" t="s">
        <v>252</v>
      </c>
      <c r="E67" s="7" t="s">
        <v>41</v>
      </c>
      <c r="F67" s="7" t="s">
        <v>42</v>
      </c>
      <c r="G67" s="7" t="s">
        <v>255</v>
      </c>
      <c r="H67" s="7" t="s">
        <v>253</v>
      </c>
      <c r="I67" s="7"/>
      <c r="J67" s="7" t="s">
        <v>256</v>
      </c>
      <c r="K67" s="7">
        <v>1</v>
      </c>
      <c r="L67" s="7" t="s">
        <v>257</v>
      </c>
      <c r="M67" s="7" t="s">
        <v>17</v>
      </c>
      <c r="N67" s="8" t="s">
        <v>18</v>
      </c>
    </row>
    <row r="68" spans="2:14" ht="28" customHeight="1">
      <c r="B68" s="5" t="s">
        <v>258</v>
      </c>
      <c r="C68" s="6" t="s">
        <v>14</v>
      </c>
      <c r="D68" s="7" t="s">
        <v>252</v>
      </c>
      <c r="E68" s="7" t="s">
        <v>41</v>
      </c>
      <c r="F68" s="7" t="s">
        <v>42</v>
      </c>
      <c r="G68" s="7" t="s">
        <v>259</v>
      </c>
      <c r="H68" s="7" t="s">
        <v>253</v>
      </c>
      <c r="I68" s="7"/>
      <c r="J68" s="7" t="s">
        <v>260</v>
      </c>
      <c r="K68" s="7">
        <v>1</v>
      </c>
      <c r="L68" s="7" t="s">
        <v>261</v>
      </c>
      <c r="M68" s="7" t="s">
        <v>17</v>
      </c>
      <c r="N68" s="8" t="s">
        <v>18</v>
      </c>
    </row>
    <row r="69" spans="2:14" ht="28" customHeight="1">
      <c r="B69" s="5" t="s">
        <v>262</v>
      </c>
      <c r="C69" s="6" t="s">
        <v>14</v>
      </c>
      <c r="D69" s="7" t="s">
        <v>252</v>
      </c>
      <c r="E69" s="7" t="s">
        <v>41</v>
      </c>
      <c r="F69" s="7" t="s">
        <v>42</v>
      </c>
      <c r="G69" s="7" t="s">
        <v>263</v>
      </c>
      <c r="H69" s="7" t="s">
        <v>253</v>
      </c>
      <c r="I69" s="7"/>
      <c r="J69" s="7" t="s">
        <v>264</v>
      </c>
      <c r="K69" s="7">
        <v>1</v>
      </c>
      <c r="L69" s="7" t="s">
        <v>265</v>
      </c>
      <c r="M69" s="7" t="s">
        <v>17</v>
      </c>
      <c r="N69" s="8" t="s">
        <v>18</v>
      </c>
    </row>
    <row r="70" spans="2:14" ht="28" customHeight="1">
      <c r="B70" s="5" t="s">
        <v>266</v>
      </c>
      <c r="C70" s="6" t="s">
        <v>14</v>
      </c>
      <c r="D70" s="7" t="s">
        <v>252</v>
      </c>
      <c r="E70" s="7" t="s">
        <v>41</v>
      </c>
      <c r="F70" s="7" t="s">
        <v>42</v>
      </c>
      <c r="G70" s="7" t="s">
        <v>267</v>
      </c>
      <c r="H70" s="7" t="s">
        <v>253</v>
      </c>
      <c r="I70" s="7"/>
      <c r="J70" s="7" t="s">
        <v>268</v>
      </c>
      <c r="K70" s="7">
        <v>1</v>
      </c>
      <c r="L70" s="7" t="s">
        <v>269</v>
      </c>
      <c r="M70" s="7" t="s">
        <v>17</v>
      </c>
      <c r="N70" s="8" t="s">
        <v>18</v>
      </c>
    </row>
    <row r="71" spans="2:14" ht="28" customHeight="1">
      <c r="B71" s="5" t="s">
        <v>270</v>
      </c>
      <c r="C71" s="6" t="s">
        <v>14</v>
      </c>
      <c r="D71" s="7" t="s">
        <v>252</v>
      </c>
      <c r="E71" s="7" t="s">
        <v>41</v>
      </c>
      <c r="F71" s="7" t="s">
        <v>42</v>
      </c>
      <c r="G71" s="7" t="s">
        <v>271</v>
      </c>
      <c r="H71" s="7" t="s">
        <v>253</v>
      </c>
      <c r="I71" s="7"/>
      <c r="J71" s="7" t="s">
        <v>272</v>
      </c>
      <c r="K71" s="7">
        <v>1</v>
      </c>
      <c r="L71" s="7" t="s">
        <v>273</v>
      </c>
      <c r="M71" s="7" t="s">
        <v>17</v>
      </c>
      <c r="N71" s="8" t="s">
        <v>18</v>
      </c>
    </row>
    <row r="72" spans="2:14" ht="28" customHeight="1">
      <c r="B72" s="5" t="s">
        <v>274</v>
      </c>
      <c r="C72" s="6" t="s">
        <v>14</v>
      </c>
      <c r="D72" s="7" t="s">
        <v>252</v>
      </c>
      <c r="E72" s="7" t="s">
        <v>41</v>
      </c>
      <c r="F72" s="7" t="s">
        <v>42</v>
      </c>
      <c r="G72" s="7" t="s">
        <v>275</v>
      </c>
      <c r="H72" s="7" t="s">
        <v>253</v>
      </c>
      <c r="I72" s="7"/>
      <c r="J72" s="7" t="s">
        <v>276</v>
      </c>
      <c r="K72" s="7">
        <v>1</v>
      </c>
      <c r="L72" s="7" t="s">
        <v>277</v>
      </c>
      <c r="M72" s="7" t="s">
        <v>17</v>
      </c>
      <c r="N72" s="8" t="s">
        <v>18</v>
      </c>
    </row>
    <row r="73" spans="2:14" ht="42" customHeight="1">
      <c r="B73" s="5" t="s">
        <v>278</v>
      </c>
      <c r="C73" s="6" t="s">
        <v>14</v>
      </c>
      <c r="D73" s="7" t="s">
        <v>279</v>
      </c>
      <c r="E73" s="7" t="s">
        <v>2</v>
      </c>
      <c r="F73" s="7" t="s">
        <v>35</v>
      </c>
      <c r="G73" s="7" t="s">
        <v>279</v>
      </c>
      <c r="H73" s="7" t="s">
        <v>280</v>
      </c>
      <c r="I73" s="7"/>
      <c r="J73" s="7"/>
      <c r="K73" s="7">
        <v>6</v>
      </c>
      <c r="L73" s="7" t="s">
        <v>281</v>
      </c>
      <c r="M73" s="7" t="s">
        <v>17</v>
      </c>
      <c r="N73" s="8" t="s">
        <v>18</v>
      </c>
    </row>
    <row r="74" spans="2:14" ht="28" customHeight="1">
      <c r="B74" s="5" t="s">
        <v>282</v>
      </c>
      <c r="C74" s="6" t="s">
        <v>14</v>
      </c>
      <c r="D74" s="7" t="s">
        <v>279</v>
      </c>
      <c r="E74" s="7" t="s">
        <v>41</v>
      </c>
      <c r="F74" s="7" t="s">
        <v>42</v>
      </c>
      <c r="G74" s="7" t="s">
        <v>283</v>
      </c>
      <c r="H74" s="7" t="s">
        <v>280</v>
      </c>
      <c r="I74" s="7"/>
      <c r="J74" s="7" t="s">
        <v>284</v>
      </c>
      <c r="K74" s="7">
        <v>1</v>
      </c>
      <c r="L74" s="7"/>
      <c r="M74" s="7" t="s">
        <v>17</v>
      </c>
      <c r="N74" s="8" t="s">
        <v>18</v>
      </c>
    </row>
    <row r="75" spans="2:14" ht="28" customHeight="1">
      <c r="B75" s="5" t="s">
        <v>285</v>
      </c>
      <c r="C75" s="6" t="s">
        <v>14</v>
      </c>
      <c r="D75" s="7" t="s">
        <v>279</v>
      </c>
      <c r="E75" s="7" t="s">
        <v>41</v>
      </c>
      <c r="F75" s="7" t="s">
        <v>42</v>
      </c>
      <c r="G75" s="7" t="s">
        <v>286</v>
      </c>
      <c r="H75" s="7" t="s">
        <v>280</v>
      </c>
      <c r="I75" s="7"/>
      <c r="J75" s="7" t="s">
        <v>287</v>
      </c>
      <c r="K75" s="7">
        <v>1</v>
      </c>
      <c r="L75" s="7"/>
      <c r="M75" s="7" t="s">
        <v>17</v>
      </c>
      <c r="N75" s="8" t="s">
        <v>18</v>
      </c>
    </row>
    <row r="76" spans="2:14" ht="28" customHeight="1">
      <c r="B76" s="5" t="s">
        <v>288</v>
      </c>
      <c r="C76" s="6" t="s">
        <v>14</v>
      </c>
      <c r="D76" s="7" t="s">
        <v>279</v>
      </c>
      <c r="E76" s="7" t="s">
        <v>41</v>
      </c>
      <c r="F76" s="7" t="s">
        <v>42</v>
      </c>
      <c r="G76" s="7" t="s">
        <v>289</v>
      </c>
      <c r="H76" s="7" t="s">
        <v>280</v>
      </c>
      <c r="I76" s="7"/>
      <c r="J76" s="7" t="s">
        <v>290</v>
      </c>
      <c r="K76" s="7">
        <v>1</v>
      </c>
      <c r="L76" s="7"/>
      <c r="M76" s="7" t="s">
        <v>17</v>
      </c>
      <c r="N76" s="8" t="s">
        <v>18</v>
      </c>
    </row>
    <row r="77" spans="2:14" ht="28" customHeight="1">
      <c r="B77" s="5" t="s">
        <v>291</v>
      </c>
      <c r="C77" s="6" t="s">
        <v>14</v>
      </c>
      <c r="D77" s="7" t="s">
        <v>279</v>
      </c>
      <c r="E77" s="7" t="s">
        <v>41</v>
      </c>
      <c r="F77" s="7" t="s">
        <v>42</v>
      </c>
      <c r="G77" s="7" t="s">
        <v>292</v>
      </c>
      <c r="H77" s="7" t="s">
        <v>280</v>
      </c>
      <c r="I77" s="7"/>
      <c r="J77" s="7" t="s">
        <v>293</v>
      </c>
      <c r="K77" s="7">
        <v>1</v>
      </c>
      <c r="L77" s="7"/>
      <c r="M77" s="7" t="s">
        <v>17</v>
      </c>
      <c r="N77" s="8" t="s">
        <v>18</v>
      </c>
    </row>
    <row r="78" spans="2:14" ht="28" customHeight="1">
      <c r="B78" s="5" t="s">
        <v>294</v>
      </c>
      <c r="C78" s="6" t="s">
        <v>14</v>
      </c>
      <c r="D78" s="7" t="s">
        <v>279</v>
      </c>
      <c r="E78" s="7" t="s">
        <v>41</v>
      </c>
      <c r="F78" s="7" t="s">
        <v>42</v>
      </c>
      <c r="G78" s="7" t="s">
        <v>295</v>
      </c>
      <c r="H78" s="7" t="s">
        <v>280</v>
      </c>
      <c r="I78" s="7"/>
      <c r="J78" s="7" t="s">
        <v>296</v>
      </c>
      <c r="K78" s="7">
        <v>1</v>
      </c>
      <c r="L78" s="7"/>
      <c r="M78" s="7" t="s">
        <v>17</v>
      </c>
      <c r="N78" s="8" t="s">
        <v>18</v>
      </c>
    </row>
    <row r="79" spans="2:14" ht="28" customHeight="1">
      <c r="B79" s="5" t="s">
        <v>297</v>
      </c>
      <c r="C79" s="6" t="s">
        <v>23</v>
      </c>
      <c r="D79" s="7" t="s">
        <v>298</v>
      </c>
      <c r="E79" s="7" t="s">
        <v>2</v>
      </c>
      <c r="F79" s="7" t="s">
        <v>35</v>
      </c>
      <c r="G79" s="7" t="s">
        <v>298</v>
      </c>
      <c r="H79" s="7" t="s">
        <v>299</v>
      </c>
      <c r="I79" s="7"/>
      <c r="J79" s="7"/>
      <c r="K79" s="7">
        <v>14</v>
      </c>
      <c r="L79" s="7"/>
      <c r="M79" s="7" t="s">
        <v>17</v>
      </c>
      <c r="N79" s="8" t="s">
        <v>18</v>
      </c>
    </row>
    <row r="80" spans="2:14" ht="28" customHeight="1">
      <c r="B80" s="5" t="s">
        <v>300</v>
      </c>
      <c r="C80" s="6" t="s">
        <v>23</v>
      </c>
      <c r="D80" s="7" t="s">
        <v>298</v>
      </c>
      <c r="E80" s="7" t="s">
        <v>41</v>
      </c>
      <c r="F80" s="7" t="s">
        <v>42</v>
      </c>
      <c r="G80" s="7" t="s">
        <v>301</v>
      </c>
      <c r="H80" s="7" t="s">
        <v>299</v>
      </c>
      <c r="I80" s="7"/>
      <c r="J80" s="7" t="s">
        <v>302</v>
      </c>
      <c r="K80" s="7">
        <v>1</v>
      </c>
      <c r="L80" s="7" t="s">
        <v>303</v>
      </c>
      <c r="M80" s="7" t="s">
        <v>17</v>
      </c>
      <c r="N80" s="8" t="s">
        <v>18</v>
      </c>
    </row>
    <row r="81" spans="2:14" ht="28" customHeight="1">
      <c r="B81" s="5" t="s">
        <v>304</v>
      </c>
      <c r="C81" s="6" t="s">
        <v>23</v>
      </c>
      <c r="D81" s="7" t="s">
        <v>298</v>
      </c>
      <c r="E81" s="7" t="s">
        <v>41</v>
      </c>
      <c r="F81" s="7" t="s">
        <v>42</v>
      </c>
      <c r="G81" s="7" t="s">
        <v>34</v>
      </c>
      <c r="H81" s="7" t="s">
        <v>299</v>
      </c>
      <c r="I81" s="7"/>
      <c r="J81" s="7" t="s">
        <v>36</v>
      </c>
      <c r="K81" s="7">
        <v>1</v>
      </c>
      <c r="L81" s="7" t="s">
        <v>247</v>
      </c>
      <c r="M81" s="7" t="s">
        <v>17</v>
      </c>
      <c r="N81" s="8" t="s">
        <v>18</v>
      </c>
    </row>
    <row r="82" spans="2:14" ht="28" customHeight="1">
      <c r="B82" s="5" t="s">
        <v>305</v>
      </c>
      <c r="C82" s="6" t="s">
        <v>23</v>
      </c>
      <c r="D82" s="7" t="s">
        <v>298</v>
      </c>
      <c r="E82" s="7" t="s">
        <v>41</v>
      </c>
      <c r="F82" s="7" t="s">
        <v>42</v>
      </c>
      <c r="G82" s="7" t="s">
        <v>306</v>
      </c>
      <c r="H82" s="7" t="s">
        <v>299</v>
      </c>
      <c r="I82" s="7"/>
      <c r="J82" s="7" t="s">
        <v>307</v>
      </c>
      <c r="K82" s="7">
        <v>1</v>
      </c>
      <c r="L82" s="7" t="s">
        <v>308</v>
      </c>
      <c r="M82" s="7" t="s">
        <v>17</v>
      </c>
      <c r="N82" s="8" t="s">
        <v>18</v>
      </c>
    </row>
    <row r="83" spans="2:14" ht="28" customHeight="1">
      <c r="B83" s="5" t="s">
        <v>309</v>
      </c>
      <c r="C83" s="6" t="s">
        <v>23</v>
      </c>
      <c r="D83" s="7" t="s">
        <v>298</v>
      </c>
      <c r="E83" s="7" t="s">
        <v>41</v>
      </c>
      <c r="F83" s="7" t="s">
        <v>42</v>
      </c>
      <c r="G83" s="7" t="s">
        <v>310</v>
      </c>
      <c r="H83" s="7" t="s">
        <v>299</v>
      </c>
      <c r="I83" s="7"/>
      <c r="J83" s="7" t="s">
        <v>311</v>
      </c>
      <c r="K83" s="7">
        <v>1</v>
      </c>
      <c r="L83" s="7" t="s">
        <v>312</v>
      </c>
      <c r="M83" s="7" t="s">
        <v>17</v>
      </c>
      <c r="N83" s="8" t="s">
        <v>18</v>
      </c>
    </row>
    <row r="84" spans="2:14" ht="28" customHeight="1">
      <c r="B84" s="5" t="s">
        <v>313</v>
      </c>
      <c r="C84" s="6" t="s">
        <v>23</v>
      </c>
      <c r="D84" s="7" t="s">
        <v>298</v>
      </c>
      <c r="E84" s="7" t="s">
        <v>41</v>
      </c>
      <c r="F84" s="7" t="s">
        <v>42</v>
      </c>
      <c r="G84" s="7" t="s">
        <v>314</v>
      </c>
      <c r="H84" s="7" t="s">
        <v>299</v>
      </c>
      <c r="I84" s="7"/>
      <c r="J84" s="7" t="s">
        <v>315</v>
      </c>
      <c r="K84" s="7">
        <v>1</v>
      </c>
      <c r="L84" s="7" t="s">
        <v>316</v>
      </c>
      <c r="M84" s="7" t="s">
        <v>17</v>
      </c>
      <c r="N84" s="8" t="s">
        <v>18</v>
      </c>
    </row>
    <row r="85" spans="2:14" ht="42" customHeight="1">
      <c r="B85" s="5" t="s">
        <v>317</v>
      </c>
      <c r="C85" s="6" t="s">
        <v>23</v>
      </c>
      <c r="D85" s="7" t="s">
        <v>298</v>
      </c>
      <c r="E85" s="7" t="s">
        <v>41</v>
      </c>
      <c r="F85" s="7" t="s">
        <v>42</v>
      </c>
      <c r="G85" s="7" t="s">
        <v>318</v>
      </c>
      <c r="H85" s="7" t="s">
        <v>299</v>
      </c>
      <c r="I85" s="7"/>
      <c r="J85" s="7" t="s">
        <v>319</v>
      </c>
      <c r="K85" s="7">
        <v>1</v>
      </c>
      <c r="L85" s="7" t="s">
        <v>320</v>
      </c>
      <c r="M85" s="7" t="s">
        <v>17</v>
      </c>
      <c r="N85" s="8" t="s">
        <v>18</v>
      </c>
    </row>
    <row r="86" spans="2:14" ht="28" customHeight="1">
      <c r="B86" s="5" t="s">
        <v>321</v>
      </c>
      <c r="C86" s="6" t="s">
        <v>23</v>
      </c>
      <c r="D86" s="7" t="s">
        <v>298</v>
      </c>
      <c r="E86" s="7" t="s">
        <v>41</v>
      </c>
      <c r="F86" s="7" t="s">
        <v>42</v>
      </c>
      <c r="G86" s="7" t="s">
        <v>322</v>
      </c>
      <c r="H86" s="7" t="s">
        <v>299</v>
      </c>
      <c r="I86" s="7"/>
      <c r="J86" s="7" t="s">
        <v>323</v>
      </c>
      <c r="K86" s="7">
        <v>1</v>
      </c>
      <c r="L86" s="7" t="s">
        <v>324</v>
      </c>
      <c r="M86" s="7" t="s">
        <v>17</v>
      </c>
      <c r="N86" s="8" t="s">
        <v>18</v>
      </c>
    </row>
    <row r="87" spans="2:14" ht="28" customHeight="1">
      <c r="B87" s="5" t="s">
        <v>325</v>
      </c>
      <c r="C87" s="6" t="s">
        <v>23</v>
      </c>
      <c r="D87" s="7" t="s">
        <v>298</v>
      </c>
      <c r="E87" s="7" t="s">
        <v>41</v>
      </c>
      <c r="F87" s="7" t="s">
        <v>42</v>
      </c>
      <c r="G87" s="7" t="s">
        <v>235</v>
      </c>
      <c r="H87" s="7" t="s">
        <v>299</v>
      </c>
      <c r="I87" s="7"/>
      <c r="J87" s="7" t="s">
        <v>236</v>
      </c>
      <c r="K87" s="7">
        <v>1</v>
      </c>
      <c r="L87" s="7" t="s">
        <v>326</v>
      </c>
      <c r="M87" s="7" t="s">
        <v>17</v>
      </c>
      <c r="N87" s="8" t="s">
        <v>18</v>
      </c>
    </row>
    <row r="88" spans="2:14" ht="28" customHeight="1">
      <c r="B88" s="5" t="s">
        <v>327</v>
      </c>
      <c r="C88" s="6" t="s">
        <v>23</v>
      </c>
      <c r="D88" s="7" t="s">
        <v>298</v>
      </c>
      <c r="E88" s="7" t="s">
        <v>41</v>
      </c>
      <c r="F88" s="7" t="s">
        <v>42</v>
      </c>
      <c r="G88" s="7" t="s">
        <v>328</v>
      </c>
      <c r="H88" s="7" t="s">
        <v>299</v>
      </c>
      <c r="I88" s="7"/>
      <c r="J88" s="7" t="s">
        <v>329</v>
      </c>
      <c r="K88" s="7">
        <v>1</v>
      </c>
      <c r="L88" s="7" t="s">
        <v>330</v>
      </c>
      <c r="M88" s="7" t="s">
        <v>17</v>
      </c>
      <c r="N88" s="8" t="s">
        <v>18</v>
      </c>
    </row>
    <row r="89" spans="2:14" ht="28" customHeight="1">
      <c r="B89" s="5" t="s">
        <v>331</v>
      </c>
      <c r="C89" s="6" t="s">
        <v>23</v>
      </c>
      <c r="D89" s="7" t="s">
        <v>298</v>
      </c>
      <c r="E89" s="7" t="s">
        <v>41</v>
      </c>
      <c r="F89" s="7" t="s">
        <v>42</v>
      </c>
      <c r="G89" s="7" t="s">
        <v>332</v>
      </c>
      <c r="H89" s="7" t="s">
        <v>299</v>
      </c>
      <c r="I89" s="7"/>
      <c r="J89" s="7" t="s">
        <v>253</v>
      </c>
      <c r="K89" s="7">
        <v>1</v>
      </c>
      <c r="L89" s="7" t="s">
        <v>333</v>
      </c>
      <c r="M89" s="7" t="s">
        <v>17</v>
      </c>
      <c r="N89" s="8" t="s">
        <v>18</v>
      </c>
    </row>
    <row r="90" spans="2:14" ht="28" customHeight="1">
      <c r="B90" s="5" t="s">
        <v>334</v>
      </c>
      <c r="C90" s="6" t="s">
        <v>23</v>
      </c>
      <c r="D90" s="7" t="s">
        <v>298</v>
      </c>
      <c r="E90" s="7" t="s">
        <v>41</v>
      </c>
      <c r="F90" s="7" t="s">
        <v>42</v>
      </c>
      <c r="G90" s="7" t="s">
        <v>279</v>
      </c>
      <c r="H90" s="7" t="s">
        <v>299</v>
      </c>
      <c r="I90" s="7"/>
      <c r="J90" s="7" t="s">
        <v>280</v>
      </c>
      <c r="K90" s="7">
        <v>1</v>
      </c>
      <c r="L90" s="7" t="s">
        <v>335</v>
      </c>
      <c r="M90" s="7" t="s">
        <v>17</v>
      </c>
      <c r="N90" s="8" t="s">
        <v>18</v>
      </c>
    </row>
    <row r="91" spans="2:14" ht="28" customHeight="1">
      <c r="B91" s="5" t="s">
        <v>336</v>
      </c>
      <c r="C91" s="6" t="s">
        <v>23</v>
      </c>
      <c r="D91" s="7" t="s">
        <v>298</v>
      </c>
      <c r="E91" s="7" t="s">
        <v>41</v>
      </c>
      <c r="F91" s="7" t="s">
        <v>42</v>
      </c>
      <c r="G91" s="7" t="s">
        <v>337</v>
      </c>
      <c r="H91" s="7" t="s">
        <v>299</v>
      </c>
      <c r="I91" s="7"/>
      <c r="J91" s="7" t="s">
        <v>232</v>
      </c>
      <c r="K91" s="7">
        <v>1</v>
      </c>
      <c r="L91" s="7" t="s">
        <v>338</v>
      </c>
      <c r="M91" s="7" t="s">
        <v>17</v>
      </c>
      <c r="N91" s="8" t="s">
        <v>18</v>
      </c>
    </row>
    <row r="92" spans="2:14" ht="28" customHeight="1">
      <c r="B92" s="5" t="s">
        <v>339</v>
      </c>
      <c r="C92" s="6" t="s">
        <v>23</v>
      </c>
      <c r="D92" s="7" t="s">
        <v>298</v>
      </c>
      <c r="E92" s="7" t="s">
        <v>41</v>
      </c>
      <c r="F92" s="7" t="s">
        <v>42</v>
      </c>
      <c r="G92" s="7" t="s">
        <v>340</v>
      </c>
      <c r="H92" s="7" t="s">
        <v>299</v>
      </c>
      <c r="I92" s="7"/>
      <c r="J92" s="7" t="s">
        <v>341</v>
      </c>
      <c r="K92" s="7">
        <v>1</v>
      </c>
      <c r="L92" s="7" t="s">
        <v>342</v>
      </c>
      <c r="M92" s="7" t="s">
        <v>17</v>
      </c>
      <c r="N92" s="8" t="s">
        <v>18</v>
      </c>
    </row>
    <row r="93" spans="2:14" ht="28" customHeight="1">
      <c r="B93" s="5" t="s">
        <v>343</v>
      </c>
      <c r="C93" s="6" t="s">
        <v>23</v>
      </c>
      <c r="D93" s="7" t="s">
        <v>337</v>
      </c>
      <c r="E93" s="7" t="s">
        <v>2</v>
      </c>
      <c r="F93" s="7" t="s">
        <v>35</v>
      </c>
      <c r="G93" s="7" t="s">
        <v>337</v>
      </c>
      <c r="H93" s="7" t="s">
        <v>344</v>
      </c>
      <c r="I93" s="7"/>
      <c r="J93" s="7"/>
      <c r="K93" s="7">
        <v>5</v>
      </c>
      <c r="L93" s="7" t="s">
        <v>345</v>
      </c>
      <c r="M93" s="7" t="s">
        <v>17</v>
      </c>
      <c r="N93" s="8" t="s">
        <v>18</v>
      </c>
    </row>
    <row r="94" spans="2:14" ht="28" customHeight="1">
      <c r="B94" s="5" t="s">
        <v>346</v>
      </c>
      <c r="C94" s="6" t="s">
        <v>23</v>
      </c>
      <c r="D94" s="7" t="s">
        <v>337</v>
      </c>
      <c r="E94" s="7" t="s">
        <v>41</v>
      </c>
      <c r="F94" s="7" t="s">
        <v>42</v>
      </c>
      <c r="G94" s="7" t="s">
        <v>347</v>
      </c>
      <c r="H94" s="7" t="s">
        <v>344</v>
      </c>
      <c r="I94" s="7"/>
      <c r="J94" s="7" t="s">
        <v>348</v>
      </c>
      <c r="K94" s="7">
        <v>1</v>
      </c>
      <c r="L94" s="7" t="s">
        <v>349</v>
      </c>
      <c r="M94" s="7" t="s">
        <v>17</v>
      </c>
      <c r="N94" s="8" t="s">
        <v>18</v>
      </c>
    </row>
    <row r="95" spans="2:14" ht="28" customHeight="1">
      <c r="B95" s="5" t="s">
        <v>350</v>
      </c>
      <c r="C95" s="6" t="s">
        <v>23</v>
      </c>
      <c r="D95" s="7" t="s">
        <v>337</v>
      </c>
      <c r="E95" s="7" t="s">
        <v>41</v>
      </c>
      <c r="F95" s="7" t="s">
        <v>42</v>
      </c>
      <c r="G95" s="7" t="s">
        <v>351</v>
      </c>
      <c r="H95" s="7" t="s">
        <v>344</v>
      </c>
      <c r="I95" s="7"/>
      <c r="J95" s="7" t="s">
        <v>352</v>
      </c>
      <c r="K95" s="7">
        <v>1</v>
      </c>
      <c r="L95" s="7" t="s">
        <v>353</v>
      </c>
      <c r="M95" s="7" t="s">
        <v>17</v>
      </c>
      <c r="N95" s="8" t="s">
        <v>18</v>
      </c>
    </row>
    <row r="96" spans="2:14" ht="28" customHeight="1">
      <c r="B96" s="5" t="s">
        <v>354</v>
      </c>
      <c r="C96" s="6" t="s">
        <v>23</v>
      </c>
      <c r="D96" s="7" t="s">
        <v>337</v>
      </c>
      <c r="E96" s="7" t="s">
        <v>41</v>
      </c>
      <c r="F96" s="7" t="s">
        <v>42</v>
      </c>
      <c r="G96" s="7" t="s">
        <v>355</v>
      </c>
      <c r="H96" s="7" t="s">
        <v>344</v>
      </c>
      <c r="I96" s="7"/>
      <c r="J96" s="7" t="s">
        <v>195</v>
      </c>
      <c r="K96" s="7">
        <v>1</v>
      </c>
      <c r="L96" s="7" t="s">
        <v>356</v>
      </c>
      <c r="M96" s="7" t="s">
        <v>17</v>
      </c>
      <c r="N96" s="8" t="s">
        <v>18</v>
      </c>
    </row>
    <row r="97" spans="2:14" ht="28" customHeight="1">
      <c r="B97" s="5" t="s">
        <v>357</v>
      </c>
      <c r="C97" s="6" t="s">
        <v>23</v>
      </c>
      <c r="D97" s="7" t="s">
        <v>337</v>
      </c>
      <c r="E97" s="7" t="s">
        <v>41</v>
      </c>
      <c r="F97" s="7" t="s">
        <v>42</v>
      </c>
      <c r="G97" s="7" t="s">
        <v>358</v>
      </c>
      <c r="H97" s="7" t="s">
        <v>344</v>
      </c>
      <c r="I97" s="7"/>
      <c r="J97" s="7" t="s">
        <v>359</v>
      </c>
      <c r="K97" s="7">
        <v>1</v>
      </c>
      <c r="L97" s="7" t="s">
        <v>360</v>
      </c>
      <c r="M97" s="7" t="s">
        <v>17</v>
      </c>
      <c r="N97" s="8" t="s">
        <v>18</v>
      </c>
    </row>
    <row r="98" spans="2:14" ht="42" customHeight="1">
      <c r="B98" s="5" t="s">
        <v>361</v>
      </c>
      <c r="C98" s="6" t="s">
        <v>32</v>
      </c>
      <c r="D98" s="7" t="s">
        <v>362</v>
      </c>
      <c r="E98" s="7" t="s">
        <v>2</v>
      </c>
      <c r="F98" s="7" t="s">
        <v>35</v>
      </c>
      <c r="G98" s="7" t="s">
        <v>362</v>
      </c>
      <c r="H98" s="7" t="s">
        <v>363</v>
      </c>
      <c r="I98" s="7"/>
      <c r="J98" s="7"/>
      <c r="K98" s="7">
        <v>6</v>
      </c>
      <c r="L98" s="7" t="s">
        <v>364</v>
      </c>
      <c r="M98" s="7" t="s">
        <v>17</v>
      </c>
      <c r="N98" s="8" t="s">
        <v>18</v>
      </c>
    </row>
    <row r="99" spans="2:14" ht="28" customHeight="1">
      <c r="B99" s="5" t="s">
        <v>365</v>
      </c>
      <c r="C99" s="6" t="s">
        <v>32</v>
      </c>
      <c r="D99" s="7" t="s">
        <v>362</v>
      </c>
      <c r="E99" s="7" t="s">
        <v>41</v>
      </c>
      <c r="F99" s="7" t="s">
        <v>42</v>
      </c>
      <c r="G99" s="7" t="s">
        <v>366</v>
      </c>
      <c r="H99" s="7" t="s">
        <v>363</v>
      </c>
      <c r="I99" s="7"/>
      <c r="J99" s="7" t="s">
        <v>367</v>
      </c>
      <c r="K99" s="7">
        <v>1</v>
      </c>
      <c r="L99" s="7" t="s">
        <v>368</v>
      </c>
      <c r="M99" s="7" t="s">
        <v>17</v>
      </c>
      <c r="N99" s="8" t="s">
        <v>18</v>
      </c>
    </row>
    <row r="100" spans="2:14" ht="28" customHeight="1">
      <c r="B100" s="5" t="s">
        <v>369</v>
      </c>
      <c r="C100" s="6" t="s">
        <v>32</v>
      </c>
      <c r="D100" s="7" t="s">
        <v>362</v>
      </c>
      <c r="E100" s="7" t="s">
        <v>41</v>
      </c>
      <c r="F100" s="7" t="s">
        <v>42</v>
      </c>
      <c r="G100" s="7" t="s">
        <v>370</v>
      </c>
      <c r="H100" s="7" t="s">
        <v>363</v>
      </c>
      <c r="I100" s="7"/>
      <c r="J100" s="7" t="s">
        <v>371</v>
      </c>
      <c r="K100" s="7">
        <v>1</v>
      </c>
      <c r="L100" s="7" t="s">
        <v>372</v>
      </c>
      <c r="M100" s="7" t="s">
        <v>17</v>
      </c>
      <c r="N100" s="8" t="s">
        <v>18</v>
      </c>
    </row>
    <row r="101" spans="2:14" ht="28" customHeight="1">
      <c r="B101" s="5" t="s">
        <v>373</v>
      </c>
      <c r="C101" s="6" t="s">
        <v>32</v>
      </c>
      <c r="D101" s="7" t="s">
        <v>362</v>
      </c>
      <c r="E101" s="7" t="s">
        <v>41</v>
      </c>
      <c r="F101" s="7" t="s">
        <v>42</v>
      </c>
      <c r="G101" s="7" t="s">
        <v>374</v>
      </c>
      <c r="H101" s="7" t="s">
        <v>363</v>
      </c>
      <c r="I101" s="7"/>
      <c r="J101" s="7" t="s">
        <v>375</v>
      </c>
      <c r="K101" s="7">
        <v>1</v>
      </c>
      <c r="L101" s="7" t="s">
        <v>376</v>
      </c>
      <c r="M101" s="7" t="s">
        <v>17</v>
      </c>
      <c r="N101" s="8" t="s">
        <v>18</v>
      </c>
    </row>
    <row r="102" spans="2:14" ht="28" customHeight="1">
      <c r="B102" s="5" t="s">
        <v>377</v>
      </c>
      <c r="C102" s="6" t="s">
        <v>32</v>
      </c>
      <c r="D102" s="7" t="s">
        <v>362</v>
      </c>
      <c r="E102" s="7" t="s">
        <v>41</v>
      </c>
      <c r="F102" s="7" t="s">
        <v>42</v>
      </c>
      <c r="G102" s="7" t="s">
        <v>378</v>
      </c>
      <c r="H102" s="7" t="s">
        <v>363</v>
      </c>
      <c r="I102" s="7"/>
      <c r="J102" s="7" t="s">
        <v>379</v>
      </c>
      <c r="K102" s="7">
        <v>1</v>
      </c>
      <c r="L102" s="7" t="s">
        <v>380</v>
      </c>
      <c r="M102" s="7" t="s">
        <v>17</v>
      </c>
      <c r="N102" s="8" t="s">
        <v>18</v>
      </c>
    </row>
    <row r="103" spans="2:14" ht="28" customHeight="1" thickBot="1">
      <c r="B103" s="9" t="s">
        <v>381</v>
      </c>
      <c r="C103" s="10" t="s">
        <v>32</v>
      </c>
      <c r="D103" s="11" t="s">
        <v>362</v>
      </c>
      <c r="E103" s="11" t="s">
        <v>41</v>
      </c>
      <c r="F103" s="11" t="s">
        <v>42</v>
      </c>
      <c r="G103" s="11" t="s">
        <v>382</v>
      </c>
      <c r="H103" s="11" t="s">
        <v>363</v>
      </c>
      <c r="I103" s="11"/>
      <c r="J103" s="11" t="s">
        <v>383</v>
      </c>
      <c r="K103" s="11">
        <v>1</v>
      </c>
      <c r="L103" s="11" t="s">
        <v>384</v>
      </c>
      <c r="M103" s="11" t="s">
        <v>17</v>
      </c>
      <c r="N103" s="12" t="s">
        <v>18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0"/>
  <sheetViews>
    <sheetView workbookViewId="0">
      <selection activeCell="H9" sqref="H9"/>
    </sheetView>
  </sheetViews>
  <sheetFormatPr defaultRowHeight="15.5"/>
  <cols>
    <col min="1" max="1" width="1.58203125" style="30" customWidth="1"/>
    <col min="2" max="2" width="4.6640625" style="32" bestFit="1" customWidth="1"/>
    <col min="3" max="3" width="57.83203125" style="32" bestFit="1" customWidth="1"/>
    <col min="4" max="4" width="7.25" style="45" customWidth="1"/>
    <col min="5" max="5" width="7.25" style="32" bestFit="1" customWidth="1"/>
    <col min="6" max="16384" width="8.6640625" style="32"/>
  </cols>
  <sheetData>
    <row r="1" spans="2:5" s="30" customFormat="1" ht="10" customHeight="1" thickBot="1">
      <c r="D1" s="31"/>
    </row>
    <row r="2" spans="2:5" ht="28" customHeight="1" thickBot="1">
      <c r="B2" s="17" t="s">
        <v>1</v>
      </c>
      <c r="C2" s="18" t="s">
        <v>2</v>
      </c>
      <c r="D2" s="19" t="s">
        <v>6</v>
      </c>
      <c r="E2" s="20" t="s">
        <v>1098</v>
      </c>
    </row>
    <row r="3" spans="2:5" ht="20" customHeight="1">
      <c r="B3" s="33" t="s">
        <v>14</v>
      </c>
      <c r="C3" s="34" t="s">
        <v>34</v>
      </c>
      <c r="D3" s="35" t="s">
        <v>36</v>
      </c>
      <c r="E3" s="36">
        <v>1</v>
      </c>
    </row>
    <row r="4" spans="2:5" ht="20" customHeight="1">
      <c r="B4" s="37" t="s">
        <v>26</v>
      </c>
      <c r="C4" s="22" t="s">
        <v>38</v>
      </c>
      <c r="D4" s="38" t="s">
        <v>39</v>
      </c>
      <c r="E4" s="23">
        <v>7</v>
      </c>
    </row>
    <row r="5" spans="2:5" ht="20" customHeight="1">
      <c r="B5" s="37" t="s">
        <v>29</v>
      </c>
      <c r="C5" s="22" t="s">
        <v>67</v>
      </c>
      <c r="D5" s="38" t="s">
        <v>68</v>
      </c>
      <c r="E5" s="23">
        <v>9</v>
      </c>
    </row>
    <row r="6" spans="2:5" ht="20" customHeight="1">
      <c r="B6" s="37" t="s">
        <v>26</v>
      </c>
      <c r="C6" s="22" t="s">
        <v>102</v>
      </c>
      <c r="D6" s="38" t="s">
        <v>103</v>
      </c>
      <c r="E6" s="23">
        <v>1</v>
      </c>
    </row>
    <row r="7" spans="2:5" ht="20" customHeight="1">
      <c r="B7" s="37" t="s">
        <v>14</v>
      </c>
      <c r="C7" s="22" t="s">
        <v>105</v>
      </c>
      <c r="D7" s="38" t="s">
        <v>106</v>
      </c>
      <c r="E7" s="23">
        <v>13</v>
      </c>
    </row>
    <row r="8" spans="2:5" ht="20" customHeight="1">
      <c r="B8" s="37" t="s">
        <v>23</v>
      </c>
      <c r="C8" s="22" t="s">
        <v>153</v>
      </c>
      <c r="D8" s="38" t="s">
        <v>154</v>
      </c>
      <c r="E8" s="23">
        <v>5</v>
      </c>
    </row>
    <row r="9" spans="2:5" ht="20" customHeight="1">
      <c r="B9" s="37" t="s">
        <v>26</v>
      </c>
      <c r="C9" s="22" t="s">
        <v>172</v>
      </c>
      <c r="D9" s="38" t="s">
        <v>173</v>
      </c>
      <c r="E9" s="23">
        <v>1</v>
      </c>
    </row>
    <row r="10" spans="2:5" ht="20" customHeight="1">
      <c r="B10" s="37" t="s">
        <v>26</v>
      </c>
      <c r="C10" s="22" t="s">
        <v>175</v>
      </c>
      <c r="D10" s="38" t="s">
        <v>176</v>
      </c>
      <c r="E10" s="23">
        <v>1</v>
      </c>
    </row>
    <row r="11" spans="2:5" ht="20" customHeight="1">
      <c r="B11" s="37" t="s">
        <v>14</v>
      </c>
      <c r="C11" s="22" t="s">
        <v>178</v>
      </c>
      <c r="D11" s="38" t="s">
        <v>179</v>
      </c>
      <c r="E11" s="23">
        <v>1</v>
      </c>
    </row>
    <row r="12" spans="2:5" ht="20" customHeight="1">
      <c r="B12" s="37" t="s">
        <v>32</v>
      </c>
      <c r="C12" s="22" t="s">
        <v>182</v>
      </c>
      <c r="D12" s="38" t="s">
        <v>183</v>
      </c>
      <c r="E12" s="23">
        <v>9</v>
      </c>
    </row>
    <row r="13" spans="2:5" ht="20" customHeight="1">
      <c r="B13" s="37" t="s">
        <v>29</v>
      </c>
      <c r="C13" s="22" t="s">
        <v>215</v>
      </c>
      <c r="D13" s="38" t="s">
        <v>216</v>
      </c>
      <c r="E13" s="23">
        <v>9</v>
      </c>
    </row>
    <row r="14" spans="2:5" ht="20" customHeight="1">
      <c r="B14" s="37" t="s">
        <v>14</v>
      </c>
      <c r="C14" s="22" t="s">
        <v>249</v>
      </c>
      <c r="D14" s="38" t="s">
        <v>250</v>
      </c>
      <c r="E14" s="23">
        <v>3</v>
      </c>
    </row>
    <row r="15" spans="2:5" ht="20" customHeight="1">
      <c r="B15" s="37" t="s">
        <v>14</v>
      </c>
      <c r="C15" s="22" t="s">
        <v>252</v>
      </c>
      <c r="D15" s="38" t="s">
        <v>253</v>
      </c>
      <c r="E15" s="23">
        <v>7</v>
      </c>
    </row>
    <row r="16" spans="2:5" ht="20" customHeight="1">
      <c r="B16" s="37" t="s">
        <v>14</v>
      </c>
      <c r="C16" s="22" t="s">
        <v>279</v>
      </c>
      <c r="D16" s="38" t="s">
        <v>280</v>
      </c>
      <c r="E16" s="23">
        <v>6</v>
      </c>
    </row>
    <row r="17" spans="2:5" ht="20" customHeight="1">
      <c r="B17" s="37" t="s">
        <v>23</v>
      </c>
      <c r="C17" s="22" t="s">
        <v>298</v>
      </c>
      <c r="D17" s="38" t="s">
        <v>299</v>
      </c>
      <c r="E17" s="23">
        <v>14</v>
      </c>
    </row>
    <row r="18" spans="2:5" ht="20" customHeight="1">
      <c r="B18" s="37" t="s">
        <v>23</v>
      </c>
      <c r="C18" s="22" t="s">
        <v>337</v>
      </c>
      <c r="D18" s="38" t="s">
        <v>344</v>
      </c>
      <c r="E18" s="23">
        <v>5</v>
      </c>
    </row>
    <row r="19" spans="2:5" ht="20" customHeight="1" thickBot="1">
      <c r="B19" s="39" t="s">
        <v>32</v>
      </c>
      <c r="C19" s="40" t="s">
        <v>362</v>
      </c>
      <c r="D19" s="41" t="s">
        <v>363</v>
      </c>
      <c r="E19" s="42">
        <v>6</v>
      </c>
    </row>
    <row r="20" spans="2:5" ht="16" thickBot="1">
      <c r="B20" s="43"/>
      <c r="C20" s="30"/>
      <c r="D20" s="31"/>
      <c r="E20" s="44">
        <f>SUBTOTAL(109,Table2[Yönetici Gereksinimi])</f>
        <v>98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F103"/>
  <sheetViews>
    <sheetView tabSelected="1" workbookViewId="0">
      <pane ySplit="2" topLeftCell="A75" activePane="bottomLeft" state="frozen"/>
      <selection pane="bottomLeft" activeCell="B75" sqref="B75"/>
    </sheetView>
  </sheetViews>
  <sheetFormatPr defaultRowHeight="15.5"/>
  <cols>
    <col min="1" max="1" width="1.58203125" style="30" customWidth="1"/>
    <col min="2" max="2" width="23" style="32" customWidth="1"/>
    <col min="3" max="3" width="43.08203125" style="32" bestFit="1" customWidth="1"/>
    <col min="4" max="4" width="45" style="32" customWidth="1"/>
    <col min="5" max="5" width="8" style="32" bestFit="1" customWidth="1"/>
    <col min="6" max="6" width="14.6640625" style="30" customWidth="1"/>
    <col min="7" max="7" width="27.5" style="30" customWidth="1"/>
    <col min="8" max="8" width="8.6640625" style="30" bestFit="1" customWidth="1"/>
    <col min="9" max="9" width="13.9140625" style="30" bestFit="1" customWidth="1"/>
    <col min="10" max="10" width="27.5" style="30" customWidth="1"/>
    <col min="11" max="11" width="14.6640625" style="30" customWidth="1"/>
    <col min="12" max="12" width="23.1640625" style="30" bestFit="1" customWidth="1"/>
    <col min="13" max="13" width="12.83203125" style="30" customWidth="1"/>
    <col min="14" max="14" width="14.6640625" style="30" customWidth="1"/>
    <col min="15" max="15" width="27.5" style="30" customWidth="1"/>
    <col min="16" max="16" width="13.1640625" style="30" bestFit="1" customWidth="1"/>
    <col min="17" max="17" width="27.5" style="30" customWidth="1"/>
    <col min="18" max="18" width="12.83203125" style="30" customWidth="1"/>
    <col min="19" max="19" width="14.6640625" style="30" customWidth="1"/>
    <col min="20" max="20" width="27.5" style="30" customWidth="1"/>
    <col min="21" max="21" width="14.6640625" style="30" customWidth="1"/>
    <col min="22" max="22" width="27.5" style="30" customWidth="1"/>
    <col min="23" max="23" width="12.83203125" style="30" customWidth="1"/>
    <col min="24" max="24" width="14.6640625" style="30" customWidth="1"/>
    <col min="25" max="25" width="27.5" style="30" customWidth="1"/>
    <col min="26" max="26" width="14.6640625" style="30" customWidth="1"/>
    <col min="27" max="27" width="27.5" style="30" customWidth="1"/>
    <col min="28" max="28" width="12.83203125" style="30" customWidth="1"/>
    <col min="29" max="29" width="14.6640625" style="30" customWidth="1"/>
    <col min="30" max="30" width="27.5" style="30" customWidth="1"/>
    <col min="31" max="31" width="14.6640625" style="30" bestFit="1" customWidth="1"/>
    <col min="32" max="32" width="11" style="48" customWidth="1"/>
    <col min="33" max="16384" width="8.6640625" style="32"/>
  </cols>
  <sheetData>
    <row r="1" spans="2:32" s="30" customFormat="1" ht="10" customHeight="1">
      <c r="AF1" s="48"/>
    </row>
    <row r="2" spans="2:32" ht="47" thickBot="1">
      <c r="B2" s="49" t="s">
        <v>0</v>
      </c>
      <c r="C2" s="47" t="s">
        <v>5</v>
      </c>
      <c r="D2" s="47" t="s">
        <v>2</v>
      </c>
      <c r="E2" s="50" t="s">
        <v>1</v>
      </c>
      <c r="F2" s="49" t="s">
        <v>1099</v>
      </c>
      <c r="G2" s="49" t="s">
        <v>1100</v>
      </c>
      <c r="H2" s="49" t="s">
        <v>1101</v>
      </c>
      <c r="I2" s="49" t="s">
        <v>1102</v>
      </c>
      <c r="J2" s="49" t="s">
        <v>1103</v>
      </c>
      <c r="K2" s="49" t="s">
        <v>1104</v>
      </c>
      <c r="L2" s="49" t="s">
        <v>1105</v>
      </c>
      <c r="M2" s="49" t="s">
        <v>1106</v>
      </c>
      <c r="N2" s="49" t="s">
        <v>1107</v>
      </c>
      <c r="O2" s="49" t="s">
        <v>1108</v>
      </c>
      <c r="P2" s="49" t="s">
        <v>1109</v>
      </c>
      <c r="Q2" s="49" t="s">
        <v>1110</v>
      </c>
      <c r="R2" s="49" t="s">
        <v>1111</v>
      </c>
      <c r="S2" s="49" t="s">
        <v>1112</v>
      </c>
      <c r="T2" s="49" t="s">
        <v>1113</v>
      </c>
      <c r="U2" s="49" t="s">
        <v>1114</v>
      </c>
      <c r="V2" s="49" t="s">
        <v>1115</v>
      </c>
      <c r="W2" s="49" t="s">
        <v>1116</v>
      </c>
      <c r="X2" s="49" t="s">
        <v>1117</v>
      </c>
      <c r="Y2" s="49" t="s">
        <v>1118</v>
      </c>
      <c r="Z2" s="49" t="s">
        <v>1119</v>
      </c>
      <c r="AA2" s="49" t="s">
        <v>1120</v>
      </c>
      <c r="AB2" s="49" t="s">
        <v>1121</v>
      </c>
      <c r="AC2" s="49" t="s">
        <v>1122</v>
      </c>
      <c r="AD2" s="49" t="s">
        <v>1123</v>
      </c>
      <c r="AE2" s="49" t="s">
        <v>1124</v>
      </c>
      <c r="AF2" s="49" t="s">
        <v>385</v>
      </c>
    </row>
    <row r="3" spans="2:32" ht="30" customHeight="1">
      <c r="B3" s="46" t="s">
        <v>13</v>
      </c>
      <c r="C3" s="34" t="s">
        <v>15</v>
      </c>
      <c r="D3" s="34" t="s">
        <v>15</v>
      </c>
      <c r="E3" s="34" t="s">
        <v>14</v>
      </c>
      <c r="F3" s="30" t="s">
        <v>392</v>
      </c>
      <c r="G3" s="30" t="s">
        <v>395</v>
      </c>
      <c r="H3" s="30">
        <v>25</v>
      </c>
      <c r="I3" s="30">
        <v>5</v>
      </c>
      <c r="J3" s="30" t="s">
        <v>1125</v>
      </c>
      <c r="K3" s="51" t="s">
        <v>468</v>
      </c>
      <c r="L3" s="52" t="s">
        <v>470</v>
      </c>
      <c r="M3" s="52">
        <v>20</v>
      </c>
      <c r="N3" s="52">
        <v>5</v>
      </c>
      <c r="O3" s="52" t="s">
        <v>1125</v>
      </c>
      <c r="P3" s="52" t="s">
        <v>518</v>
      </c>
      <c r="Q3" s="52" t="s">
        <v>521</v>
      </c>
      <c r="R3" s="52">
        <v>20</v>
      </c>
      <c r="S3" s="52">
        <v>5</v>
      </c>
      <c r="T3" s="52" t="s">
        <v>1126</v>
      </c>
      <c r="U3" s="52" t="s">
        <v>598</v>
      </c>
      <c r="V3" s="52" t="s">
        <v>599</v>
      </c>
      <c r="W3" s="52">
        <v>20</v>
      </c>
      <c r="X3" s="52">
        <v>5</v>
      </c>
      <c r="Y3" s="52" t="s">
        <v>1126</v>
      </c>
      <c r="Z3" s="52" t="s">
        <v>775</v>
      </c>
      <c r="AA3" s="52" t="s">
        <v>776</v>
      </c>
      <c r="AB3" s="52">
        <v>15</v>
      </c>
      <c r="AC3" s="52">
        <v>5</v>
      </c>
      <c r="AD3" s="52" t="s">
        <v>1127</v>
      </c>
      <c r="AE3" s="52">
        <f t="shared" ref="AE3:AE66" si="0">SUM(H3,M3,R3,W3,AB3)</f>
        <v>100</v>
      </c>
      <c r="AF3" s="53" t="s">
        <v>386</v>
      </c>
    </row>
    <row r="4" spans="2:32" ht="30" customHeight="1">
      <c r="B4" s="21" t="s">
        <v>19</v>
      </c>
      <c r="C4" s="22" t="s">
        <v>21</v>
      </c>
      <c r="D4" s="22" t="s">
        <v>20</v>
      </c>
      <c r="E4" s="22" t="s">
        <v>14</v>
      </c>
      <c r="F4" s="30" t="s">
        <v>392</v>
      </c>
      <c r="G4" s="30" t="s">
        <v>395</v>
      </c>
      <c r="H4" s="30">
        <v>25</v>
      </c>
      <c r="I4" s="30">
        <v>5</v>
      </c>
      <c r="J4" s="30" t="s">
        <v>1125</v>
      </c>
      <c r="K4" s="54" t="s">
        <v>468</v>
      </c>
      <c r="L4" s="55" t="s">
        <v>470</v>
      </c>
      <c r="M4" s="55">
        <v>20</v>
      </c>
      <c r="N4" s="55">
        <v>5</v>
      </c>
      <c r="O4" s="55" t="s">
        <v>1125</v>
      </c>
      <c r="P4" s="55" t="s">
        <v>518</v>
      </c>
      <c r="Q4" s="55" t="s">
        <v>521</v>
      </c>
      <c r="R4" s="55">
        <v>20</v>
      </c>
      <c r="S4" s="55">
        <v>5</v>
      </c>
      <c r="T4" s="55" t="s">
        <v>1126</v>
      </c>
      <c r="U4" s="55" t="s">
        <v>598</v>
      </c>
      <c r="V4" s="55" t="s">
        <v>599</v>
      </c>
      <c r="W4" s="55">
        <v>20</v>
      </c>
      <c r="X4" s="55">
        <v>5</v>
      </c>
      <c r="Y4" s="55" t="s">
        <v>1126</v>
      </c>
      <c r="Z4" s="55" t="s">
        <v>775</v>
      </c>
      <c r="AA4" s="55" t="s">
        <v>776</v>
      </c>
      <c r="AB4" s="55">
        <v>15</v>
      </c>
      <c r="AC4" s="55">
        <v>5</v>
      </c>
      <c r="AD4" s="55" t="s">
        <v>1127</v>
      </c>
      <c r="AE4" s="55">
        <f t="shared" si="0"/>
        <v>100</v>
      </c>
      <c r="AF4" s="56" t="s">
        <v>386</v>
      </c>
    </row>
    <row r="5" spans="2:32" ht="30" customHeight="1">
      <c r="B5" s="21" t="s">
        <v>24</v>
      </c>
      <c r="C5" s="22" t="s">
        <v>21</v>
      </c>
      <c r="D5" s="22" t="s">
        <v>25</v>
      </c>
      <c r="E5" s="22" t="s">
        <v>14</v>
      </c>
      <c r="F5" s="30" t="s">
        <v>392</v>
      </c>
      <c r="G5" s="30" t="s">
        <v>395</v>
      </c>
      <c r="H5" s="30">
        <v>25</v>
      </c>
      <c r="I5" s="30">
        <v>5</v>
      </c>
      <c r="J5" s="30" t="s">
        <v>1125</v>
      </c>
      <c r="K5" s="54" t="s">
        <v>468</v>
      </c>
      <c r="L5" s="57" t="s">
        <v>470</v>
      </c>
      <c r="M5" s="57">
        <v>20</v>
      </c>
      <c r="N5" s="57">
        <v>5</v>
      </c>
      <c r="O5" s="57" t="s">
        <v>1125</v>
      </c>
      <c r="P5" s="57" t="s">
        <v>518</v>
      </c>
      <c r="Q5" s="57" t="s">
        <v>521</v>
      </c>
      <c r="R5" s="57">
        <v>20</v>
      </c>
      <c r="S5" s="57">
        <v>5</v>
      </c>
      <c r="T5" s="57" t="s">
        <v>1126</v>
      </c>
      <c r="U5" s="57" t="s">
        <v>598</v>
      </c>
      <c r="V5" s="57" t="s">
        <v>599</v>
      </c>
      <c r="W5" s="57">
        <v>20</v>
      </c>
      <c r="X5" s="57">
        <v>5</v>
      </c>
      <c r="Y5" s="57" t="s">
        <v>1126</v>
      </c>
      <c r="Z5" s="57" t="s">
        <v>775</v>
      </c>
      <c r="AA5" s="57" t="s">
        <v>776</v>
      </c>
      <c r="AB5" s="57">
        <v>15</v>
      </c>
      <c r="AC5" s="57">
        <v>5</v>
      </c>
      <c r="AD5" s="57" t="s">
        <v>1127</v>
      </c>
      <c r="AE5" s="57">
        <f t="shared" si="0"/>
        <v>100</v>
      </c>
      <c r="AF5" s="58" t="s">
        <v>386</v>
      </c>
    </row>
    <row r="6" spans="2:32" ht="30" customHeight="1">
      <c r="B6" s="21" t="s">
        <v>27</v>
      </c>
      <c r="C6" s="22" t="s">
        <v>21</v>
      </c>
      <c r="D6" s="22" t="s">
        <v>28</v>
      </c>
      <c r="E6" s="22" t="s">
        <v>14</v>
      </c>
      <c r="F6" s="30" t="s">
        <v>392</v>
      </c>
      <c r="G6" s="30" t="s">
        <v>395</v>
      </c>
      <c r="H6" s="30">
        <v>25</v>
      </c>
      <c r="I6" s="30">
        <v>5</v>
      </c>
      <c r="J6" s="30" t="s">
        <v>1125</v>
      </c>
      <c r="K6" s="54" t="s">
        <v>468</v>
      </c>
      <c r="L6" s="55" t="s">
        <v>470</v>
      </c>
      <c r="M6" s="55">
        <v>20</v>
      </c>
      <c r="N6" s="55">
        <v>5</v>
      </c>
      <c r="O6" s="55" t="s">
        <v>1125</v>
      </c>
      <c r="P6" s="55" t="s">
        <v>518</v>
      </c>
      <c r="Q6" s="55" t="s">
        <v>521</v>
      </c>
      <c r="R6" s="55">
        <v>20</v>
      </c>
      <c r="S6" s="55">
        <v>5</v>
      </c>
      <c r="T6" s="55" t="s">
        <v>1126</v>
      </c>
      <c r="U6" s="55" t="s">
        <v>598</v>
      </c>
      <c r="V6" s="55" t="s">
        <v>599</v>
      </c>
      <c r="W6" s="55">
        <v>20</v>
      </c>
      <c r="X6" s="55">
        <v>5</v>
      </c>
      <c r="Y6" s="55" t="s">
        <v>1126</v>
      </c>
      <c r="Z6" s="55" t="s">
        <v>775</v>
      </c>
      <c r="AA6" s="55" t="s">
        <v>776</v>
      </c>
      <c r="AB6" s="55">
        <v>15</v>
      </c>
      <c r="AC6" s="55">
        <v>5</v>
      </c>
      <c r="AD6" s="55" t="s">
        <v>1127</v>
      </c>
      <c r="AE6" s="55">
        <f t="shared" si="0"/>
        <v>100</v>
      </c>
      <c r="AF6" s="56" t="s">
        <v>386</v>
      </c>
    </row>
    <row r="7" spans="2:32" ht="30" customHeight="1">
      <c r="B7" s="21" t="s">
        <v>30</v>
      </c>
      <c r="C7" s="22" t="s">
        <v>21</v>
      </c>
      <c r="D7" s="22" t="s">
        <v>31</v>
      </c>
      <c r="E7" s="22" t="s">
        <v>14</v>
      </c>
      <c r="F7" s="30" t="s">
        <v>392</v>
      </c>
      <c r="G7" s="30" t="s">
        <v>395</v>
      </c>
      <c r="H7" s="30">
        <v>25</v>
      </c>
      <c r="I7" s="30">
        <v>5</v>
      </c>
      <c r="J7" s="30" t="s">
        <v>1125</v>
      </c>
      <c r="K7" s="54" t="s">
        <v>468</v>
      </c>
      <c r="L7" s="57" t="s">
        <v>470</v>
      </c>
      <c r="M7" s="57">
        <v>20</v>
      </c>
      <c r="N7" s="57">
        <v>5</v>
      </c>
      <c r="O7" s="57" t="s">
        <v>1125</v>
      </c>
      <c r="P7" s="57" t="s">
        <v>518</v>
      </c>
      <c r="Q7" s="57" t="s">
        <v>521</v>
      </c>
      <c r="R7" s="57">
        <v>20</v>
      </c>
      <c r="S7" s="57">
        <v>5</v>
      </c>
      <c r="T7" s="57" t="s">
        <v>1126</v>
      </c>
      <c r="U7" s="57" t="s">
        <v>598</v>
      </c>
      <c r="V7" s="57" t="s">
        <v>599</v>
      </c>
      <c r="W7" s="57">
        <v>20</v>
      </c>
      <c r="X7" s="57">
        <v>5</v>
      </c>
      <c r="Y7" s="57" t="s">
        <v>1126</v>
      </c>
      <c r="Z7" s="57" t="s">
        <v>775</v>
      </c>
      <c r="AA7" s="57" t="s">
        <v>776</v>
      </c>
      <c r="AB7" s="57">
        <v>15</v>
      </c>
      <c r="AC7" s="57">
        <v>5</v>
      </c>
      <c r="AD7" s="57" t="s">
        <v>1127</v>
      </c>
      <c r="AE7" s="57">
        <f t="shared" si="0"/>
        <v>100</v>
      </c>
      <c r="AF7" s="58" t="s">
        <v>386</v>
      </c>
    </row>
    <row r="8" spans="2:32" ht="30" customHeight="1">
      <c r="B8" s="21" t="s">
        <v>33</v>
      </c>
      <c r="C8" s="22" t="s">
        <v>34</v>
      </c>
      <c r="D8" s="22" t="s">
        <v>34</v>
      </c>
      <c r="E8" s="22" t="s">
        <v>14</v>
      </c>
      <c r="F8" s="30" t="s">
        <v>604</v>
      </c>
      <c r="G8" s="30" t="s">
        <v>605</v>
      </c>
      <c r="H8" s="30">
        <v>25</v>
      </c>
      <c r="I8" s="30">
        <v>4</v>
      </c>
      <c r="J8" s="30" t="s">
        <v>1126</v>
      </c>
      <c r="K8" s="54" t="s">
        <v>613</v>
      </c>
      <c r="L8" s="55" t="s">
        <v>614</v>
      </c>
      <c r="M8" s="55">
        <v>20</v>
      </c>
      <c r="N8" s="55">
        <v>4</v>
      </c>
      <c r="O8" s="55" t="s">
        <v>1126</v>
      </c>
      <c r="P8" s="55" t="s">
        <v>616</v>
      </c>
      <c r="Q8" s="55" t="s">
        <v>617</v>
      </c>
      <c r="R8" s="55">
        <v>20</v>
      </c>
      <c r="S8" s="55">
        <v>4</v>
      </c>
      <c r="T8" s="55" t="s">
        <v>1126</v>
      </c>
      <c r="U8" s="55" t="s">
        <v>916</v>
      </c>
      <c r="V8" s="55" t="s">
        <v>917</v>
      </c>
      <c r="W8" s="55">
        <v>20</v>
      </c>
      <c r="X8" s="55">
        <v>4</v>
      </c>
      <c r="Y8" s="55" t="s">
        <v>1128</v>
      </c>
      <c r="Z8" s="55" t="s">
        <v>484</v>
      </c>
      <c r="AA8" s="55" t="s">
        <v>485</v>
      </c>
      <c r="AB8" s="55">
        <v>15</v>
      </c>
      <c r="AC8" s="55">
        <v>4</v>
      </c>
      <c r="AD8" s="55" t="s">
        <v>1125</v>
      </c>
      <c r="AE8" s="55">
        <f t="shared" si="0"/>
        <v>100</v>
      </c>
      <c r="AF8" s="56" t="s">
        <v>386</v>
      </c>
    </row>
    <row r="9" spans="2:32" ht="30" customHeight="1">
      <c r="B9" s="21" t="s">
        <v>37</v>
      </c>
      <c r="C9" s="22" t="s">
        <v>38</v>
      </c>
      <c r="D9" s="22" t="s">
        <v>38</v>
      </c>
      <c r="E9" s="22" t="s">
        <v>26</v>
      </c>
      <c r="F9" s="30" t="s">
        <v>821</v>
      </c>
      <c r="G9" s="30" t="s">
        <v>823</v>
      </c>
      <c r="H9" s="30">
        <v>25</v>
      </c>
      <c r="I9" s="30">
        <v>4</v>
      </c>
      <c r="J9" s="30" t="s">
        <v>1127</v>
      </c>
      <c r="K9" s="54" t="s">
        <v>756</v>
      </c>
      <c r="L9" s="57" t="s">
        <v>757</v>
      </c>
      <c r="M9" s="57">
        <v>20</v>
      </c>
      <c r="N9" s="57">
        <v>4</v>
      </c>
      <c r="O9" s="57" t="s">
        <v>1127</v>
      </c>
      <c r="P9" s="57" t="s">
        <v>796</v>
      </c>
      <c r="Q9" s="57" t="s">
        <v>798</v>
      </c>
      <c r="R9" s="57">
        <v>20</v>
      </c>
      <c r="S9" s="57">
        <v>4</v>
      </c>
      <c r="T9" s="57" t="s">
        <v>1127</v>
      </c>
      <c r="U9" s="57" t="s">
        <v>775</v>
      </c>
      <c r="V9" s="57" t="s">
        <v>776</v>
      </c>
      <c r="W9" s="57">
        <v>20</v>
      </c>
      <c r="X9" s="57">
        <v>4</v>
      </c>
      <c r="Y9" s="57" t="s">
        <v>1127</v>
      </c>
      <c r="Z9" s="57" t="s">
        <v>619</v>
      </c>
      <c r="AA9" s="57" t="s">
        <v>622</v>
      </c>
      <c r="AB9" s="57">
        <v>15</v>
      </c>
      <c r="AC9" s="57">
        <v>4</v>
      </c>
      <c r="AD9" s="57" t="s">
        <v>1129</v>
      </c>
      <c r="AE9" s="57">
        <f t="shared" si="0"/>
        <v>100</v>
      </c>
      <c r="AF9" s="58" t="s">
        <v>386</v>
      </c>
    </row>
    <row r="10" spans="2:32" ht="30" customHeight="1">
      <c r="B10" s="21" t="s">
        <v>40</v>
      </c>
      <c r="C10" s="22" t="s">
        <v>43</v>
      </c>
      <c r="D10" s="22" t="s">
        <v>38</v>
      </c>
      <c r="E10" s="22" t="s">
        <v>26</v>
      </c>
      <c r="F10" s="30" t="s">
        <v>796</v>
      </c>
      <c r="G10" s="30" t="s">
        <v>798</v>
      </c>
      <c r="H10" s="30">
        <v>25</v>
      </c>
      <c r="I10" s="30">
        <v>3</v>
      </c>
      <c r="J10" s="30" t="s">
        <v>1127</v>
      </c>
      <c r="K10" s="54" t="s">
        <v>800</v>
      </c>
      <c r="L10" s="55" t="s">
        <v>801</v>
      </c>
      <c r="M10" s="55">
        <v>20</v>
      </c>
      <c r="N10" s="55">
        <v>3</v>
      </c>
      <c r="O10" s="55" t="s">
        <v>1127</v>
      </c>
      <c r="P10" s="55" t="s">
        <v>812</v>
      </c>
      <c r="Q10" s="55" t="s">
        <v>813</v>
      </c>
      <c r="R10" s="55">
        <v>20</v>
      </c>
      <c r="S10" s="55">
        <v>3</v>
      </c>
      <c r="T10" s="55" t="s">
        <v>1127</v>
      </c>
      <c r="U10" s="55" t="s">
        <v>809</v>
      </c>
      <c r="V10" s="55" t="s">
        <v>810</v>
      </c>
      <c r="W10" s="55">
        <v>20</v>
      </c>
      <c r="X10" s="55">
        <v>3</v>
      </c>
      <c r="Y10" s="55" t="s">
        <v>1127</v>
      </c>
      <c r="Z10" s="55" t="s">
        <v>831</v>
      </c>
      <c r="AA10" s="55" t="s">
        <v>832</v>
      </c>
      <c r="AB10" s="55">
        <v>15</v>
      </c>
      <c r="AC10" s="55">
        <v>3</v>
      </c>
      <c r="AD10" s="55" t="s">
        <v>1127</v>
      </c>
      <c r="AE10" s="55">
        <f t="shared" si="0"/>
        <v>100</v>
      </c>
      <c r="AF10" s="56" t="s">
        <v>386</v>
      </c>
    </row>
    <row r="11" spans="2:32" ht="30" customHeight="1">
      <c r="B11" s="21" t="s">
        <v>46</v>
      </c>
      <c r="C11" s="22" t="s">
        <v>47</v>
      </c>
      <c r="D11" s="22" t="s">
        <v>38</v>
      </c>
      <c r="E11" s="22" t="s">
        <v>26</v>
      </c>
      <c r="F11" s="30" t="s">
        <v>821</v>
      </c>
      <c r="G11" s="30" t="s">
        <v>823</v>
      </c>
      <c r="H11" s="30">
        <v>25</v>
      </c>
      <c r="I11" s="30">
        <v>3</v>
      </c>
      <c r="J11" s="30" t="s">
        <v>1127</v>
      </c>
      <c r="K11" s="54" t="s">
        <v>756</v>
      </c>
      <c r="L11" s="57" t="s">
        <v>757</v>
      </c>
      <c r="M11" s="57">
        <v>20</v>
      </c>
      <c r="N11" s="57">
        <v>3</v>
      </c>
      <c r="O11" s="57" t="s">
        <v>1127</v>
      </c>
      <c r="P11" s="57" t="s">
        <v>796</v>
      </c>
      <c r="Q11" s="57" t="s">
        <v>798</v>
      </c>
      <c r="R11" s="57">
        <v>20</v>
      </c>
      <c r="S11" s="57">
        <v>3</v>
      </c>
      <c r="T11" s="57" t="s">
        <v>1127</v>
      </c>
      <c r="U11" s="57" t="s">
        <v>775</v>
      </c>
      <c r="V11" s="57" t="s">
        <v>776</v>
      </c>
      <c r="W11" s="57">
        <v>20</v>
      </c>
      <c r="X11" s="57">
        <v>3</v>
      </c>
      <c r="Y11" s="57" t="s">
        <v>1127</v>
      </c>
      <c r="Z11" s="57" t="s">
        <v>619</v>
      </c>
      <c r="AA11" s="57" t="s">
        <v>622</v>
      </c>
      <c r="AB11" s="57">
        <v>15</v>
      </c>
      <c r="AC11" s="57">
        <v>3</v>
      </c>
      <c r="AD11" s="57" t="s">
        <v>1129</v>
      </c>
      <c r="AE11" s="57">
        <f t="shared" si="0"/>
        <v>100</v>
      </c>
      <c r="AF11" s="58" t="s">
        <v>386</v>
      </c>
    </row>
    <row r="12" spans="2:32" ht="30" customHeight="1">
      <c r="B12" s="21" t="s">
        <v>50</v>
      </c>
      <c r="C12" s="22" t="s">
        <v>51</v>
      </c>
      <c r="D12" s="22" t="s">
        <v>38</v>
      </c>
      <c r="E12" s="22" t="s">
        <v>26</v>
      </c>
      <c r="F12" s="30" t="s">
        <v>821</v>
      </c>
      <c r="G12" s="30" t="s">
        <v>823</v>
      </c>
      <c r="H12" s="30">
        <v>25</v>
      </c>
      <c r="I12" s="30">
        <v>3</v>
      </c>
      <c r="J12" s="30" t="s">
        <v>1127</v>
      </c>
      <c r="K12" s="54" t="s">
        <v>756</v>
      </c>
      <c r="L12" s="55" t="s">
        <v>757</v>
      </c>
      <c r="M12" s="55">
        <v>20</v>
      </c>
      <c r="N12" s="55">
        <v>3</v>
      </c>
      <c r="O12" s="55" t="s">
        <v>1127</v>
      </c>
      <c r="P12" s="55" t="s">
        <v>796</v>
      </c>
      <c r="Q12" s="55" t="s">
        <v>798</v>
      </c>
      <c r="R12" s="55">
        <v>20</v>
      </c>
      <c r="S12" s="55">
        <v>3</v>
      </c>
      <c r="T12" s="55" t="s">
        <v>1127</v>
      </c>
      <c r="U12" s="55" t="s">
        <v>775</v>
      </c>
      <c r="V12" s="55" t="s">
        <v>776</v>
      </c>
      <c r="W12" s="55">
        <v>20</v>
      </c>
      <c r="X12" s="55">
        <v>3</v>
      </c>
      <c r="Y12" s="55" t="s">
        <v>1127</v>
      </c>
      <c r="Z12" s="55" t="s">
        <v>619</v>
      </c>
      <c r="AA12" s="55" t="s">
        <v>622</v>
      </c>
      <c r="AB12" s="55">
        <v>15</v>
      </c>
      <c r="AC12" s="55">
        <v>3</v>
      </c>
      <c r="AD12" s="55" t="s">
        <v>1129</v>
      </c>
      <c r="AE12" s="55">
        <f t="shared" si="0"/>
        <v>100</v>
      </c>
      <c r="AF12" s="56" t="s">
        <v>386</v>
      </c>
    </row>
    <row r="13" spans="2:32" ht="30" customHeight="1">
      <c r="B13" s="21" t="s">
        <v>54</v>
      </c>
      <c r="C13" s="22" t="s">
        <v>55</v>
      </c>
      <c r="D13" s="22" t="s">
        <v>38</v>
      </c>
      <c r="E13" s="22" t="s">
        <v>26</v>
      </c>
      <c r="F13" s="30" t="s">
        <v>821</v>
      </c>
      <c r="G13" s="30" t="s">
        <v>823</v>
      </c>
      <c r="H13" s="30">
        <v>25</v>
      </c>
      <c r="I13" s="30">
        <v>3</v>
      </c>
      <c r="J13" s="30" t="s">
        <v>1127</v>
      </c>
      <c r="K13" s="54" t="s">
        <v>756</v>
      </c>
      <c r="L13" s="57" t="s">
        <v>757</v>
      </c>
      <c r="M13" s="57">
        <v>20</v>
      </c>
      <c r="N13" s="57">
        <v>3</v>
      </c>
      <c r="O13" s="57" t="s">
        <v>1127</v>
      </c>
      <c r="P13" s="57" t="s">
        <v>796</v>
      </c>
      <c r="Q13" s="57" t="s">
        <v>798</v>
      </c>
      <c r="R13" s="57">
        <v>20</v>
      </c>
      <c r="S13" s="57">
        <v>3</v>
      </c>
      <c r="T13" s="57" t="s">
        <v>1127</v>
      </c>
      <c r="U13" s="57" t="s">
        <v>775</v>
      </c>
      <c r="V13" s="57" t="s">
        <v>776</v>
      </c>
      <c r="W13" s="57">
        <v>20</v>
      </c>
      <c r="X13" s="57">
        <v>3</v>
      </c>
      <c r="Y13" s="57" t="s">
        <v>1127</v>
      </c>
      <c r="Z13" s="57" t="s">
        <v>619</v>
      </c>
      <c r="AA13" s="57" t="s">
        <v>622</v>
      </c>
      <c r="AB13" s="57">
        <v>15</v>
      </c>
      <c r="AC13" s="57">
        <v>3</v>
      </c>
      <c r="AD13" s="57" t="s">
        <v>1129</v>
      </c>
      <c r="AE13" s="57">
        <f t="shared" si="0"/>
        <v>100</v>
      </c>
      <c r="AF13" s="58" t="s">
        <v>386</v>
      </c>
    </row>
    <row r="14" spans="2:32" ht="30" customHeight="1">
      <c r="B14" s="21" t="s">
        <v>58</v>
      </c>
      <c r="C14" s="22" t="s">
        <v>59</v>
      </c>
      <c r="D14" s="22" t="s">
        <v>38</v>
      </c>
      <c r="E14" s="22" t="s">
        <v>26</v>
      </c>
      <c r="F14" s="30" t="s">
        <v>745</v>
      </c>
      <c r="G14" s="30" t="s">
        <v>748</v>
      </c>
      <c r="H14" s="30">
        <v>25</v>
      </c>
      <c r="I14" s="30">
        <v>3</v>
      </c>
      <c r="J14" s="30" t="s">
        <v>1127</v>
      </c>
      <c r="K14" s="54" t="s">
        <v>753</v>
      </c>
      <c r="L14" s="55" t="s">
        <v>754</v>
      </c>
      <c r="M14" s="55">
        <v>20</v>
      </c>
      <c r="N14" s="55">
        <v>3</v>
      </c>
      <c r="O14" s="55" t="s">
        <v>1127</v>
      </c>
      <c r="P14" s="55" t="s">
        <v>762</v>
      </c>
      <c r="Q14" s="55" t="s">
        <v>763</v>
      </c>
      <c r="R14" s="55">
        <v>20</v>
      </c>
      <c r="S14" s="55">
        <v>3</v>
      </c>
      <c r="T14" s="55" t="s">
        <v>1127</v>
      </c>
      <c r="U14" s="55" t="s">
        <v>529</v>
      </c>
      <c r="V14" s="55" t="s">
        <v>530</v>
      </c>
      <c r="W14" s="55">
        <v>20</v>
      </c>
      <c r="X14" s="55">
        <v>3</v>
      </c>
      <c r="Y14" s="55" t="s">
        <v>1126</v>
      </c>
      <c r="Z14" s="55" t="s">
        <v>497</v>
      </c>
      <c r="AA14" s="55" t="s">
        <v>498</v>
      </c>
      <c r="AB14" s="55">
        <v>15</v>
      </c>
      <c r="AC14" s="55">
        <v>3</v>
      </c>
      <c r="AD14" s="55" t="s">
        <v>1125</v>
      </c>
      <c r="AE14" s="55">
        <f t="shared" si="0"/>
        <v>100</v>
      </c>
      <c r="AF14" s="56" t="s">
        <v>386</v>
      </c>
    </row>
    <row r="15" spans="2:32" ht="30" customHeight="1">
      <c r="B15" s="21" t="s">
        <v>62</v>
      </c>
      <c r="C15" s="22" t="s">
        <v>63</v>
      </c>
      <c r="D15" s="22" t="s">
        <v>38</v>
      </c>
      <c r="E15" s="22" t="s">
        <v>26</v>
      </c>
      <c r="F15" s="30" t="s">
        <v>821</v>
      </c>
      <c r="G15" s="30" t="s">
        <v>823</v>
      </c>
      <c r="H15" s="30">
        <v>25</v>
      </c>
      <c r="I15" s="30">
        <v>3</v>
      </c>
      <c r="J15" s="30" t="s">
        <v>1127</v>
      </c>
      <c r="K15" s="54" t="s">
        <v>756</v>
      </c>
      <c r="L15" s="57" t="s">
        <v>757</v>
      </c>
      <c r="M15" s="57">
        <v>20</v>
      </c>
      <c r="N15" s="57">
        <v>3</v>
      </c>
      <c r="O15" s="57" t="s">
        <v>1127</v>
      </c>
      <c r="P15" s="57" t="s">
        <v>796</v>
      </c>
      <c r="Q15" s="57" t="s">
        <v>798</v>
      </c>
      <c r="R15" s="57">
        <v>20</v>
      </c>
      <c r="S15" s="57">
        <v>3</v>
      </c>
      <c r="T15" s="57" t="s">
        <v>1127</v>
      </c>
      <c r="U15" s="57" t="s">
        <v>775</v>
      </c>
      <c r="V15" s="57" t="s">
        <v>776</v>
      </c>
      <c r="W15" s="57">
        <v>20</v>
      </c>
      <c r="X15" s="57">
        <v>3</v>
      </c>
      <c r="Y15" s="57" t="s">
        <v>1127</v>
      </c>
      <c r="Z15" s="57" t="s">
        <v>619</v>
      </c>
      <c r="AA15" s="57" t="s">
        <v>622</v>
      </c>
      <c r="AB15" s="57">
        <v>15</v>
      </c>
      <c r="AC15" s="57">
        <v>3</v>
      </c>
      <c r="AD15" s="57" t="s">
        <v>1129</v>
      </c>
      <c r="AE15" s="57">
        <f t="shared" si="0"/>
        <v>100</v>
      </c>
      <c r="AF15" s="58" t="s">
        <v>386</v>
      </c>
    </row>
    <row r="16" spans="2:32" ht="30" customHeight="1">
      <c r="B16" s="21" t="s">
        <v>66</v>
      </c>
      <c r="C16" s="22" t="s">
        <v>67</v>
      </c>
      <c r="D16" s="22" t="s">
        <v>67</v>
      </c>
      <c r="E16" s="22" t="s">
        <v>29</v>
      </c>
      <c r="F16" s="30" t="s">
        <v>518</v>
      </c>
      <c r="G16" s="30" t="s">
        <v>521</v>
      </c>
      <c r="H16" s="30">
        <v>25</v>
      </c>
      <c r="I16" s="30">
        <v>4</v>
      </c>
      <c r="J16" s="30" t="s">
        <v>1126</v>
      </c>
      <c r="K16" s="54" t="s">
        <v>970</v>
      </c>
      <c r="L16" s="55" t="s">
        <v>971</v>
      </c>
      <c r="M16" s="55">
        <v>20</v>
      </c>
      <c r="N16" s="55">
        <v>4</v>
      </c>
      <c r="O16" s="55" t="s">
        <v>1130</v>
      </c>
      <c r="P16" s="55" t="s">
        <v>607</v>
      </c>
      <c r="Q16" s="55" t="s">
        <v>608</v>
      </c>
      <c r="R16" s="55">
        <v>20</v>
      </c>
      <c r="S16" s="55">
        <v>4</v>
      </c>
      <c r="T16" s="55" t="s">
        <v>1126</v>
      </c>
      <c r="U16" s="55" t="s">
        <v>745</v>
      </c>
      <c r="V16" s="55" t="s">
        <v>748</v>
      </c>
      <c r="W16" s="55">
        <v>20</v>
      </c>
      <c r="X16" s="55">
        <v>4</v>
      </c>
      <c r="Y16" s="55" t="s">
        <v>1127</v>
      </c>
      <c r="Z16" s="55" t="s">
        <v>998</v>
      </c>
      <c r="AA16" s="55" t="s">
        <v>1000</v>
      </c>
      <c r="AB16" s="55">
        <v>15</v>
      </c>
      <c r="AC16" s="55">
        <v>4</v>
      </c>
      <c r="AD16" s="55" t="s">
        <v>1130</v>
      </c>
      <c r="AE16" s="55">
        <f t="shared" si="0"/>
        <v>100</v>
      </c>
      <c r="AF16" s="56" t="s">
        <v>386</v>
      </c>
    </row>
    <row r="17" spans="2:32" ht="30" customHeight="1">
      <c r="B17" s="21" t="s">
        <v>69</v>
      </c>
      <c r="C17" s="22" t="s">
        <v>70</v>
      </c>
      <c r="D17" s="22" t="s">
        <v>67</v>
      </c>
      <c r="E17" s="22" t="s">
        <v>29</v>
      </c>
      <c r="F17" s="30" t="s">
        <v>518</v>
      </c>
      <c r="G17" s="30" t="s">
        <v>521</v>
      </c>
      <c r="H17" s="30">
        <v>25</v>
      </c>
      <c r="I17" s="30">
        <v>3</v>
      </c>
      <c r="J17" s="30" t="s">
        <v>1126</v>
      </c>
      <c r="K17" s="54" t="s">
        <v>970</v>
      </c>
      <c r="L17" s="57" t="s">
        <v>971</v>
      </c>
      <c r="M17" s="57">
        <v>20</v>
      </c>
      <c r="N17" s="57">
        <v>3</v>
      </c>
      <c r="O17" s="57" t="s">
        <v>1130</v>
      </c>
      <c r="P17" s="57" t="s">
        <v>607</v>
      </c>
      <c r="Q17" s="57" t="s">
        <v>608</v>
      </c>
      <c r="R17" s="57">
        <v>20</v>
      </c>
      <c r="S17" s="57">
        <v>3</v>
      </c>
      <c r="T17" s="57" t="s">
        <v>1126</v>
      </c>
      <c r="U17" s="57" t="s">
        <v>745</v>
      </c>
      <c r="V17" s="57" t="s">
        <v>748</v>
      </c>
      <c r="W17" s="57">
        <v>20</v>
      </c>
      <c r="X17" s="57">
        <v>3</v>
      </c>
      <c r="Y17" s="57" t="s">
        <v>1127</v>
      </c>
      <c r="Z17" s="57" t="s">
        <v>998</v>
      </c>
      <c r="AA17" s="57" t="s">
        <v>1000</v>
      </c>
      <c r="AB17" s="57">
        <v>15</v>
      </c>
      <c r="AC17" s="57">
        <v>3</v>
      </c>
      <c r="AD17" s="57" t="s">
        <v>1130</v>
      </c>
      <c r="AE17" s="57">
        <f t="shared" si="0"/>
        <v>100</v>
      </c>
      <c r="AF17" s="58" t="s">
        <v>386</v>
      </c>
    </row>
    <row r="18" spans="2:32" ht="30" customHeight="1">
      <c r="B18" s="21" t="s">
        <v>73</v>
      </c>
      <c r="C18" s="22" t="s">
        <v>74</v>
      </c>
      <c r="D18" s="22" t="s">
        <v>67</v>
      </c>
      <c r="E18" s="22" t="s">
        <v>29</v>
      </c>
      <c r="F18" s="30" t="s">
        <v>998</v>
      </c>
      <c r="G18" s="30" t="s">
        <v>1000</v>
      </c>
      <c r="H18" s="30">
        <v>25</v>
      </c>
      <c r="I18" s="30">
        <v>3</v>
      </c>
      <c r="J18" s="30" t="s">
        <v>1130</v>
      </c>
      <c r="K18" s="54" t="s">
        <v>1005</v>
      </c>
      <c r="L18" s="55" t="s">
        <v>1006</v>
      </c>
      <c r="M18" s="55">
        <v>20</v>
      </c>
      <c r="N18" s="55">
        <v>3</v>
      </c>
      <c r="O18" s="55" t="s">
        <v>1130</v>
      </c>
      <c r="P18" s="55" t="s">
        <v>1011</v>
      </c>
      <c r="Q18" s="55" t="s">
        <v>1012</v>
      </c>
      <c r="R18" s="55">
        <v>20</v>
      </c>
      <c r="S18" s="55">
        <v>3</v>
      </c>
      <c r="T18" s="55" t="s">
        <v>1130</v>
      </c>
      <c r="U18" s="55" t="s">
        <v>573</v>
      </c>
      <c r="V18" s="55" t="s">
        <v>574</v>
      </c>
      <c r="W18" s="55">
        <v>20</v>
      </c>
      <c r="X18" s="55">
        <v>3</v>
      </c>
      <c r="Y18" s="55" t="s">
        <v>1126</v>
      </c>
      <c r="Z18" s="55" t="s">
        <v>926</v>
      </c>
      <c r="AA18" s="55" t="s">
        <v>927</v>
      </c>
      <c r="AB18" s="55">
        <v>15</v>
      </c>
      <c r="AC18" s="55">
        <v>3</v>
      </c>
      <c r="AD18" s="55" t="s">
        <v>1128</v>
      </c>
      <c r="AE18" s="55">
        <f t="shared" si="0"/>
        <v>100</v>
      </c>
      <c r="AF18" s="56" t="s">
        <v>386</v>
      </c>
    </row>
    <row r="19" spans="2:32" ht="30" customHeight="1">
      <c r="B19" s="21" t="s">
        <v>77</v>
      </c>
      <c r="C19" s="22" t="s">
        <v>78</v>
      </c>
      <c r="D19" s="22" t="s">
        <v>67</v>
      </c>
      <c r="E19" s="22" t="s">
        <v>29</v>
      </c>
      <c r="F19" s="30" t="s">
        <v>518</v>
      </c>
      <c r="G19" s="30" t="s">
        <v>521</v>
      </c>
      <c r="H19" s="30">
        <v>25</v>
      </c>
      <c r="I19" s="30">
        <v>3</v>
      </c>
      <c r="J19" s="30" t="s">
        <v>1126</v>
      </c>
      <c r="K19" s="54" t="s">
        <v>970</v>
      </c>
      <c r="L19" s="57" t="s">
        <v>971</v>
      </c>
      <c r="M19" s="57">
        <v>20</v>
      </c>
      <c r="N19" s="57">
        <v>3</v>
      </c>
      <c r="O19" s="57" t="s">
        <v>1130</v>
      </c>
      <c r="P19" s="57" t="s">
        <v>607</v>
      </c>
      <c r="Q19" s="57" t="s">
        <v>608</v>
      </c>
      <c r="R19" s="57">
        <v>20</v>
      </c>
      <c r="S19" s="57">
        <v>3</v>
      </c>
      <c r="T19" s="57" t="s">
        <v>1126</v>
      </c>
      <c r="U19" s="57" t="s">
        <v>745</v>
      </c>
      <c r="V19" s="57" t="s">
        <v>748</v>
      </c>
      <c r="W19" s="57">
        <v>20</v>
      </c>
      <c r="X19" s="57">
        <v>3</v>
      </c>
      <c r="Y19" s="57" t="s">
        <v>1127</v>
      </c>
      <c r="Z19" s="57" t="s">
        <v>998</v>
      </c>
      <c r="AA19" s="57" t="s">
        <v>1000</v>
      </c>
      <c r="AB19" s="57">
        <v>15</v>
      </c>
      <c r="AC19" s="57">
        <v>3</v>
      </c>
      <c r="AD19" s="57" t="s">
        <v>1130</v>
      </c>
      <c r="AE19" s="57">
        <f t="shared" si="0"/>
        <v>100</v>
      </c>
      <c r="AF19" s="58" t="s">
        <v>386</v>
      </c>
    </row>
    <row r="20" spans="2:32" ht="30" customHeight="1">
      <c r="B20" s="21" t="s">
        <v>81</v>
      </c>
      <c r="C20" s="22" t="s">
        <v>82</v>
      </c>
      <c r="D20" s="22" t="s">
        <v>67</v>
      </c>
      <c r="E20" s="22" t="s">
        <v>29</v>
      </c>
      <c r="F20" s="30" t="s">
        <v>518</v>
      </c>
      <c r="G20" s="30" t="s">
        <v>521</v>
      </c>
      <c r="H20" s="30">
        <v>25</v>
      </c>
      <c r="I20" s="30">
        <v>3</v>
      </c>
      <c r="J20" s="30" t="s">
        <v>1126</v>
      </c>
      <c r="K20" s="54" t="s">
        <v>970</v>
      </c>
      <c r="L20" s="55" t="s">
        <v>971</v>
      </c>
      <c r="M20" s="55">
        <v>20</v>
      </c>
      <c r="N20" s="55">
        <v>3</v>
      </c>
      <c r="O20" s="55" t="s">
        <v>1130</v>
      </c>
      <c r="P20" s="55" t="s">
        <v>607</v>
      </c>
      <c r="Q20" s="55" t="s">
        <v>608</v>
      </c>
      <c r="R20" s="55">
        <v>20</v>
      </c>
      <c r="S20" s="55">
        <v>3</v>
      </c>
      <c r="T20" s="55" t="s">
        <v>1126</v>
      </c>
      <c r="U20" s="55" t="s">
        <v>745</v>
      </c>
      <c r="V20" s="55" t="s">
        <v>748</v>
      </c>
      <c r="W20" s="55">
        <v>20</v>
      </c>
      <c r="X20" s="55">
        <v>3</v>
      </c>
      <c r="Y20" s="55" t="s">
        <v>1127</v>
      </c>
      <c r="Z20" s="55" t="s">
        <v>998</v>
      </c>
      <c r="AA20" s="55" t="s">
        <v>1000</v>
      </c>
      <c r="AB20" s="55">
        <v>15</v>
      </c>
      <c r="AC20" s="55">
        <v>3</v>
      </c>
      <c r="AD20" s="55" t="s">
        <v>1130</v>
      </c>
      <c r="AE20" s="55">
        <f t="shared" si="0"/>
        <v>100</v>
      </c>
      <c r="AF20" s="56" t="s">
        <v>386</v>
      </c>
    </row>
    <row r="21" spans="2:32" ht="30" customHeight="1">
      <c r="B21" s="21" t="s">
        <v>85</v>
      </c>
      <c r="C21" s="22" t="s">
        <v>86</v>
      </c>
      <c r="D21" s="22" t="s">
        <v>67</v>
      </c>
      <c r="E21" s="22" t="s">
        <v>29</v>
      </c>
      <c r="F21" s="30" t="s">
        <v>518</v>
      </c>
      <c r="G21" s="30" t="s">
        <v>521</v>
      </c>
      <c r="H21" s="30">
        <v>25</v>
      </c>
      <c r="I21" s="30">
        <v>3</v>
      </c>
      <c r="J21" s="30" t="s">
        <v>1126</v>
      </c>
      <c r="K21" s="54" t="s">
        <v>970</v>
      </c>
      <c r="L21" s="57" t="s">
        <v>971</v>
      </c>
      <c r="M21" s="57">
        <v>20</v>
      </c>
      <c r="N21" s="57">
        <v>3</v>
      </c>
      <c r="O21" s="57" t="s">
        <v>1130</v>
      </c>
      <c r="P21" s="57" t="s">
        <v>607</v>
      </c>
      <c r="Q21" s="57" t="s">
        <v>608</v>
      </c>
      <c r="R21" s="57">
        <v>20</v>
      </c>
      <c r="S21" s="57">
        <v>3</v>
      </c>
      <c r="T21" s="57" t="s">
        <v>1126</v>
      </c>
      <c r="U21" s="57" t="s">
        <v>745</v>
      </c>
      <c r="V21" s="57" t="s">
        <v>748</v>
      </c>
      <c r="W21" s="57">
        <v>20</v>
      </c>
      <c r="X21" s="57">
        <v>3</v>
      </c>
      <c r="Y21" s="57" t="s">
        <v>1127</v>
      </c>
      <c r="Z21" s="57" t="s">
        <v>998</v>
      </c>
      <c r="AA21" s="57" t="s">
        <v>1000</v>
      </c>
      <c r="AB21" s="57">
        <v>15</v>
      </c>
      <c r="AC21" s="57">
        <v>3</v>
      </c>
      <c r="AD21" s="57" t="s">
        <v>1130</v>
      </c>
      <c r="AE21" s="57">
        <f t="shared" si="0"/>
        <v>100</v>
      </c>
      <c r="AF21" s="58" t="s">
        <v>386</v>
      </c>
    </row>
    <row r="22" spans="2:32" ht="30" customHeight="1">
      <c r="B22" s="21" t="s">
        <v>89</v>
      </c>
      <c r="C22" s="22" t="s">
        <v>90</v>
      </c>
      <c r="D22" s="22" t="s">
        <v>67</v>
      </c>
      <c r="E22" s="22" t="s">
        <v>29</v>
      </c>
      <c r="F22" s="30" t="s">
        <v>518</v>
      </c>
      <c r="G22" s="30" t="s">
        <v>521</v>
      </c>
      <c r="H22" s="30">
        <v>25</v>
      </c>
      <c r="I22" s="30">
        <v>3</v>
      </c>
      <c r="J22" s="30" t="s">
        <v>1126</v>
      </c>
      <c r="K22" s="54" t="s">
        <v>970</v>
      </c>
      <c r="L22" s="55" t="s">
        <v>971</v>
      </c>
      <c r="M22" s="55">
        <v>20</v>
      </c>
      <c r="N22" s="55">
        <v>3</v>
      </c>
      <c r="O22" s="55" t="s">
        <v>1130</v>
      </c>
      <c r="P22" s="55" t="s">
        <v>607</v>
      </c>
      <c r="Q22" s="55" t="s">
        <v>608</v>
      </c>
      <c r="R22" s="55">
        <v>20</v>
      </c>
      <c r="S22" s="55">
        <v>3</v>
      </c>
      <c r="T22" s="55" t="s">
        <v>1126</v>
      </c>
      <c r="U22" s="55" t="s">
        <v>745</v>
      </c>
      <c r="V22" s="55" t="s">
        <v>748</v>
      </c>
      <c r="W22" s="55">
        <v>20</v>
      </c>
      <c r="X22" s="55">
        <v>3</v>
      </c>
      <c r="Y22" s="55" t="s">
        <v>1127</v>
      </c>
      <c r="Z22" s="55" t="s">
        <v>998</v>
      </c>
      <c r="AA22" s="55" t="s">
        <v>1000</v>
      </c>
      <c r="AB22" s="55">
        <v>15</v>
      </c>
      <c r="AC22" s="55">
        <v>3</v>
      </c>
      <c r="AD22" s="55" t="s">
        <v>1130</v>
      </c>
      <c r="AE22" s="55">
        <f t="shared" si="0"/>
        <v>100</v>
      </c>
      <c r="AF22" s="56" t="s">
        <v>386</v>
      </c>
    </row>
    <row r="23" spans="2:32" ht="30" customHeight="1">
      <c r="B23" s="21" t="s">
        <v>93</v>
      </c>
      <c r="C23" s="22" t="s">
        <v>94</v>
      </c>
      <c r="D23" s="22" t="s">
        <v>67</v>
      </c>
      <c r="E23" s="22" t="s">
        <v>29</v>
      </c>
      <c r="F23" s="30" t="s">
        <v>518</v>
      </c>
      <c r="G23" s="30" t="s">
        <v>521</v>
      </c>
      <c r="H23" s="30">
        <v>25</v>
      </c>
      <c r="I23" s="30">
        <v>3</v>
      </c>
      <c r="J23" s="30" t="s">
        <v>1126</v>
      </c>
      <c r="K23" s="54" t="s">
        <v>970</v>
      </c>
      <c r="L23" s="57" t="s">
        <v>971</v>
      </c>
      <c r="M23" s="57">
        <v>20</v>
      </c>
      <c r="N23" s="57">
        <v>3</v>
      </c>
      <c r="O23" s="57" t="s">
        <v>1130</v>
      </c>
      <c r="P23" s="57" t="s">
        <v>607</v>
      </c>
      <c r="Q23" s="57" t="s">
        <v>608</v>
      </c>
      <c r="R23" s="57">
        <v>20</v>
      </c>
      <c r="S23" s="57">
        <v>3</v>
      </c>
      <c r="T23" s="57" t="s">
        <v>1126</v>
      </c>
      <c r="U23" s="57" t="s">
        <v>745</v>
      </c>
      <c r="V23" s="57" t="s">
        <v>748</v>
      </c>
      <c r="W23" s="57">
        <v>20</v>
      </c>
      <c r="X23" s="57">
        <v>3</v>
      </c>
      <c r="Y23" s="57" t="s">
        <v>1127</v>
      </c>
      <c r="Z23" s="57" t="s">
        <v>998</v>
      </c>
      <c r="AA23" s="57" t="s">
        <v>1000</v>
      </c>
      <c r="AB23" s="57">
        <v>15</v>
      </c>
      <c r="AC23" s="57">
        <v>3</v>
      </c>
      <c r="AD23" s="57" t="s">
        <v>1130</v>
      </c>
      <c r="AE23" s="57">
        <f t="shared" si="0"/>
        <v>100</v>
      </c>
      <c r="AF23" s="58" t="s">
        <v>386</v>
      </c>
    </row>
    <row r="24" spans="2:32" ht="30" customHeight="1">
      <c r="B24" s="21" t="s">
        <v>97</v>
      </c>
      <c r="C24" s="22" t="s">
        <v>98</v>
      </c>
      <c r="D24" s="22" t="s">
        <v>67</v>
      </c>
      <c r="E24" s="22" t="s">
        <v>29</v>
      </c>
      <c r="F24" s="30" t="s">
        <v>518</v>
      </c>
      <c r="G24" s="30" t="s">
        <v>521</v>
      </c>
      <c r="H24" s="30">
        <v>25</v>
      </c>
      <c r="I24" s="30">
        <v>3</v>
      </c>
      <c r="J24" s="30" t="s">
        <v>1126</v>
      </c>
      <c r="K24" s="54" t="s">
        <v>970</v>
      </c>
      <c r="L24" s="55" t="s">
        <v>971</v>
      </c>
      <c r="M24" s="55">
        <v>20</v>
      </c>
      <c r="N24" s="55">
        <v>3</v>
      </c>
      <c r="O24" s="55" t="s">
        <v>1130</v>
      </c>
      <c r="P24" s="55" t="s">
        <v>607</v>
      </c>
      <c r="Q24" s="55" t="s">
        <v>608</v>
      </c>
      <c r="R24" s="55">
        <v>20</v>
      </c>
      <c r="S24" s="55">
        <v>3</v>
      </c>
      <c r="T24" s="55" t="s">
        <v>1126</v>
      </c>
      <c r="U24" s="55" t="s">
        <v>745</v>
      </c>
      <c r="V24" s="55" t="s">
        <v>748</v>
      </c>
      <c r="W24" s="55">
        <v>20</v>
      </c>
      <c r="X24" s="55">
        <v>3</v>
      </c>
      <c r="Y24" s="55" t="s">
        <v>1127</v>
      </c>
      <c r="Z24" s="55" t="s">
        <v>998</v>
      </c>
      <c r="AA24" s="55" t="s">
        <v>1000</v>
      </c>
      <c r="AB24" s="55">
        <v>15</v>
      </c>
      <c r="AC24" s="55">
        <v>3</v>
      </c>
      <c r="AD24" s="55" t="s">
        <v>1130</v>
      </c>
      <c r="AE24" s="55">
        <f t="shared" si="0"/>
        <v>100</v>
      </c>
      <c r="AF24" s="56" t="s">
        <v>386</v>
      </c>
    </row>
    <row r="25" spans="2:32" ht="30" customHeight="1">
      <c r="B25" s="21" t="s">
        <v>101</v>
      </c>
      <c r="C25" s="22" t="s">
        <v>102</v>
      </c>
      <c r="D25" s="22" t="s">
        <v>102</v>
      </c>
      <c r="E25" s="22" t="s">
        <v>26</v>
      </c>
      <c r="F25" s="30" t="s">
        <v>392</v>
      </c>
      <c r="G25" s="30" t="s">
        <v>395</v>
      </c>
      <c r="H25" s="30">
        <v>25</v>
      </c>
      <c r="I25" s="30">
        <v>4</v>
      </c>
      <c r="J25" s="30" t="s">
        <v>1125</v>
      </c>
      <c r="K25" s="54" t="s">
        <v>518</v>
      </c>
      <c r="L25" s="57" t="s">
        <v>521</v>
      </c>
      <c r="M25" s="57">
        <v>20</v>
      </c>
      <c r="N25" s="57">
        <v>4</v>
      </c>
      <c r="O25" s="57" t="s">
        <v>1126</v>
      </c>
      <c r="P25" s="57" t="s">
        <v>468</v>
      </c>
      <c r="Q25" s="57" t="s">
        <v>470</v>
      </c>
      <c r="R25" s="57">
        <v>20</v>
      </c>
      <c r="S25" s="57">
        <v>4</v>
      </c>
      <c r="T25" s="57" t="s">
        <v>1125</v>
      </c>
      <c r="U25" s="57" t="s">
        <v>598</v>
      </c>
      <c r="V25" s="57" t="s">
        <v>599</v>
      </c>
      <c r="W25" s="57">
        <v>20</v>
      </c>
      <c r="X25" s="57">
        <v>4</v>
      </c>
      <c r="Y25" s="57" t="s">
        <v>1126</v>
      </c>
      <c r="Z25" s="57" t="s">
        <v>775</v>
      </c>
      <c r="AA25" s="57" t="s">
        <v>776</v>
      </c>
      <c r="AB25" s="57">
        <v>15</v>
      </c>
      <c r="AC25" s="57">
        <v>4</v>
      </c>
      <c r="AD25" s="57" t="s">
        <v>1127</v>
      </c>
      <c r="AE25" s="57">
        <f t="shared" si="0"/>
        <v>100</v>
      </c>
      <c r="AF25" s="58" t="s">
        <v>386</v>
      </c>
    </row>
    <row r="26" spans="2:32" ht="30" customHeight="1">
      <c r="B26" s="21" t="s">
        <v>104</v>
      </c>
      <c r="C26" s="22" t="s">
        <v>105</v>
      </c>
      <c r="D26" s="22" t="s">
        <v>105</v>
      </c>
      <c r="E26" s="22" t="s">
        <v>14</v>
      </c>
      <c r="F26" s="30" t="s">
        <v>670</v>
      </c>
      <c r="G26" s="30" t="s">
        <v>672</v>
      </c>
      <c r="H26" s="30">
        <v>25</v>
      </c>
      <c r="I26" s="30">
        <v>4</v>
      </c>
      <c r="J26" s="30" t="s">
        <v>1129</v>
      </c>
      <c r="K26" s="54" t="s">
        <v>645</v>
      </c>
      <c r="L26" s="55" t="s">
        <v>647</v>
      </c>
      <c r="M26" s="55">
        <v>20</v>
      </c>
      <c r="N26" s="55">
        <v>4</v>
      </c>
      <c r="O26" s="55" t="s">
        <v>1129</v>
      </c>
      <c r="P26" s="55" t="s">
        <v>973</v>
      </c>
      <c r="Q26" s="55" t="s">
        <v>975</v>
      </c>
      <c r="R26" s="55">
        <v>20</v>
      </c>
      <c r="S26" s="55">
        <v>4</v>
      </c>
      <c r="T26" s="55" t="s">
        <v>1129</v>
      </c>
      <c r="U26" s="55" t="s">
        <v>727</v>
      </c>
      <c r="V26" s="55" t="s">
        <v>728</v>
      </c>
      <c r="W26" s="55">
        <v>20</v>
      </c>
      <c r="X26" s="55">
        <v>4</v>
      </c>
      <c r="Y26" s="55" t="s">
        <v>1129</v>
      </c>
      <c r="Z26" s="55" t="s">
        <v>447</v>
      </c>
      <c r="AA26" s="55" t="s">
        <v>448</v>
      </c>
      <c r="AB26" s="55">
        <v>15</v>
      </c>
      <c r="AC26" s="55">
        <v>4</v>
      </c>
      <c r="AD26" s="55" t="s">
        <v>1125</v>
      </c>
      <c r="AE26" s="55">
        <f t="shared" si="0"/>
        <v>100</v>
      </c>
      <c r="AF26" s="56" t="s">
        <v>386</v>
      </c>
    </row>
    <row r="27" spans="2:32" ht="30" customHeight="1">
      <c r="B27" s="21" t="s">
        <v>108</v>
      </c>
      <c r="C27" s="22" t="s">
        <v>109</v>
      </c>
      <c r="D27" s="22" t="s">
        <v>105</v>
      </c>
      <c r="E27" s="22" t="s">
        <v>14</v>
      </c>
      <c r="F27" s="30" t="s">
        <v>670</v>
      </c>
      <c r="G27" s="30" t="s">
        <v>672</v>
      </c>
      <c r="H27" s="30">
        <v>25</v>
      </c>
      <c r="I27" s="30">
        <v>3</v>
      </c>
      <c r="J27" s="30" t="s">
        <v>1129</v>
      </c>
      <c r="K27" s="54" t="s">
        <v>645</v>
      </c>
      <c r="L27" s="57" t="s">
        <v>647</v>
      </c>
      <c r="M27" s="57">
        <v>20</v>
      </c>
      <c r="N27" s="57">
        <v>3</v>
      </c>
      <c r="O27" s="57" t="s">
        <v>1129</v>
      </c>
      <c r="P27" s="57" t="s">
        <v>973</v>
      </c>
      <c r="Q27" s="57" t="s">
        <v>975</v>
      </c>
      <c r="R27" s="57">
        <v>20</v>
      </c>
      <c r="S27" s="57">
        <v>3</v>
      </c>
      <c r="T27" s="57" t="s">
        <v>1129</v>
      </c>
      <c r="U27" s="57" t="s">
        <v>727</v>
      </c>
      <c r="V27" s="57" t="s">
        <v>728</v>
      </c>
      <c r="W27" s="57">
        <v>20</v>
      </c>
      <c r="X27" s="57">
        <v>3</v>
      </c>
      <c r="Y27" s="57" t="s">
        <v>1129</v>
      </c>
      <c r="Z27" s="57" t="s">
        <v>447</v>
      </c>
      <c r="AA27" s="57" t="s">
        <v>448</v>
      </c>
      <c r="AB27" s="57">
        <v>15</v>
      </c>
      <c r="AC27" s="57">
        <v>3</v>
      </c>
      <c r="AD27" s="57" t="s">
        <v>1125</v>
      </c>
      <c r="AE27" s="57">
        <f t="shared" si="0"/>
        <v>100</v>
      </c>
      <c r="AF27" s="58" t="s">
        <v>386</v>
      </c>
    </row>
    <row r="28" spans="2:32" ht="30" customHeight="1">
      <c r="B28" s="21" t="s">
        <v>111</v>
      </c>
      <c r="C28" s="22" t="s">
        <v>112</v>
      </c>
      <c r="D28" s="22" t="s">
        <v>105</v>
      </c>
      <c r="E28" s="22" t="s">
        <v>14</v>
      </c>
      <c r="F28" s="30" t="s">
        <v>670</v>
      </c>
      <c r="G28" s="30" t="s">
        <v>672</v>
      </c>
      <c r="H28" s="30">
        <v>25</v>
      </c>
      <c r="I28" s="30">
        <v>3</v>
      </c>
      <c r="J28" s="30" t="s">
        <v>1129</v>
      </c>
      <c r="K28" s="54" t="s">
        <v>645</v>
      </c>
      <c r="L28" s="55" t="s">
        <v>647</v>
      </c>
      <c r="M28" s="55">
        <v>20</v>
      </c>
      <c r="N28" s="55">
        <v>3</v>
      </c>
      <c r="O28" s="55" t="s">
        <v>1129</v>
      </c>
      <c r="P28" s="55" t="s">
        <v>973</v>
      </c>
      <c r="Q28" s="55" t="s">
        <v>975</v>
      </c>
      <c r="R28" s="55">
        <v>20</v>
      </c>
      <c r="S28" s="55">
        <v>3</v>
      </c>
      <c r="T28" s="55" t="s">
        <v>1129</v>
      </c>
      <c r="U28" s="55" t="s">
        <v>727</v>
      </c>
      <c r="V28" s="55" t="s">
        <v>728</v>
      </c>
      <c r="W28" s="55">
        <v>20</v>
      </c>
      <c r="X28" s="55">
        <v>3</v>
      </c>
      <c r="Y28" s="55" t="s">
        <v>1129</v>
      </c>
      <c r="Z28" s="55" t="s">
        <v>447</v>
      </c>
      <c r="AA28" s="55" t="s">
        <v>448</v>
      </c>
      <c r="AB28" s="55">
        <v>15</v>
      </c>
      <c r="AC28" s="55">
        <v>3</v>
      </c>
      <c r="AD28" s="55" t="s">
        <v>1125</v>
      </c>
      <c r="AE28" s="55">
        <f t="shared" si="0"/>
        <v>100</v>
      </c>
      <c r="AF28" s="56" t="s">
        <v>386</v>
      </c>
    </row>
    <row r="29" spans="2:32" ht="30" customHeight="1">
      <c r="B29" s="21" t="s">
        <v>115</v>
      </c>
      <c r="C29" s="22" t="s">
        <v>116</v>
      </c>
      <c r="D29" s="22" t="s">
        <v>105</v>
      </c>
      <c r="E29" s="22" t="s">
        <v>14</v>
      </c>
      <c r="F29" s="30" t="s">
        <v>670</v>
      </c>
      <c r="G29" s="30" t="s">
        <v>672</v>
      </c>
      <c r="H29" s="30">
        <v>25</v>
      </c>
      <c r="I29" s="30">
        <v>3</v>
      </c>
      <c r="J29" s="30" t="s">
        <v>1129</v>
      </c>
      <c r="K29" s="54" t="s">
        <v>645</v>
      </c>
      <c r="L29" s="57" t="s">
        <v>647</v>
      </c>
      <c r="M29" s="57">
        <v>20</v>
      </c>
      <c r="N29" s="57">
        <v>3</v>
      </c>
      <c r="O29" s="57" t="s">
        <v>1129</v>
      </c>
      <c r="P29" s="57" t="s">
        <v>973</v>
      </c>
      <c r="Q29" s="57" t="s">
        <v>975</v>
      </c>
      <c r="R29" s="57">
        <v>20</v>
      </c>
      <c r="S29" s="57">
        <v>3</v>
      </c>
      <c r="T29" s="57" t="s">
        <v>1129</v>
      </c>
      <c r="U29" s="57" t="s">
        <v>727</v>
      </c>
      <c r="V29" s="57" t="s">
        <v>728</v>
      </c>
      <c r="W29" s="57">
        <v>20</v>
      </c>
      <c r="X29" s="57">
        <v>3</v>
      </c>
      <c r="Y29" s="57" t="s">
        <v>1129</v>
      </c>
      <c r="Z29" s="57" t="s">
        <v>447</v>
      </c>
      <c r="AA29" s="57" t="s">
        <v>448</v>
      </c>
      <c r="AB29" s="57">
        <v>15</v>
      </c>
      <c r="AC29" s="57">
        <v>3</v>
      </c>
      <c r="AD29" s="57" t="s">
        <v>1125</v>
      </c>
      <c r="AE29" s="57">
        <f t="shared" si="0"/>
        <v>100</v>
      </c>
      <c r="AF29" s="58" t="s">
        <v>386</v>
      </c>
    </row>
    <row r="30" spans="2:32" ht="30" customHeight="1">
      <c r="B30" s="21" t="s">
        <v>119</v>
      </c>
      <c r="C30" s="22" t="s">
        <v>120</v>
      </c>
      <c r="D30" s="22" t="s">
        <v>105</v>
      </c>
      <c r="E30" s="22" t="s">
        <v>14</v>
      </c>
      <c r="F30" s="30" t="s">
        <v>670</v>
      </c>
      <c r="G30" s="30" t="s">
        <v>672</v>
      </c>
      <c r="H30" s="30">
        <v>25</v>
      </c>
      <c r="I30" s="30">
        <v>3</v>
      </c>
      <c r="J30" s="30" t="s">
        <v>1129</v>
      </c>
      <c r="K30" s="54" t="s">
        <v>645</v>
      </c>
      <c r="L30" s="55" t="s">
        <v>647</v>
      </c>
      <c r="M30" s="55">
        <v>20</v>
      </c>
      <c r="N30" s="55">
        <v>3</v>
      </c>
      <c r="O30" s="55" t="s">
        <v>1129</v>
      </c>
      <c r="P30" s="55" t="s">
        <v>973</v>
      </c>
      <c r="Q30" s="55" t="s">
        <v>975</v>
      </c>
      <c r="R30" s="55">
        <v>20</v>
      </c>
      <c r="S30" s="55">
        <v>3</v>
      </c>
      <c r="T30" s="55" t="s">
        <v>1129</v>
      </c>
      <c r="U30" s="55" t="s">
        <v>727</v>
      </c>
      <c r="V30" s="55" t="s">
        <v>728</v>
      </c>
      <c r="W30" s="55">
        <v>20</v>
      </c>
      <c r="X30" s="55">
        <v>3</v>
      </c>
      <c r="Y30" s="55" t="s">
        <v>1129</v>
      </c>
      <c r="Z30" s="55" t="s">
        <v>447</v>
      </c>
      <c r="AA30" s="55" t="s">
        <v>448</v>
      </c>
      <c r="AB30" s="55">
        <v>15</v>
      </c>
      <c r="AC30" s="55">
        <v>3</v>
      </c>
      <c r="AD30" s="55" t="s">
        <v>1125</v>
      </c>
      <c r="AE30" s="55">
        <f t="shared" si="0"/>
        <v>100</v>
      </c>
      <c r="AF30" s="56" t="s">
        <v>386</v>
      </c>
    </row>
    <row r="31" spans="2:32" ht="30" customHeight="1">
      <c r="B31" s="21" t="s">
        <v>123</v>
      </c>
      <c r="C31" s="22" t="s">
        <v>124</v>
      </c>
      <c r="D31" s="22" t="s">
        <v>105</v>
      </c>
      <c r="E31" s="22" t="s">
        <v>14</v>
      </c>
      <c r="F31" s="30" t="s">
        <v>670</v>
      </c>
      <c r="G31" s="30" t="s">
        <v>672</v>
      </c>
      <c r="H31" s="30">
        <v>25</v>
      </c>
      <c r="I31" s="30">
        <v>3</v>
      </c>
      <c r="J31" s="30" t="s">
        <v>1129</v>
      </c>
      <c r="K31" s="54" t="s">
        <v>645</v>
      </c>
      <c r="L31" s="57" t="s">
        <v>647</v>
      </c>
      <c r="M31" s="57">
        <v>20</v>
      </c>
      <c r="N31" s="57">
        <v>3</v>
      </c>
      <c r="O31" s="57" t="s">
        <v>1129</v>
      </c>
      <c r="P31" s="57" t="s">
        <v>973</v>
      </c>
      <c r="Q31" s="57" t="s">
        <v>975</v>
      </c>
      <c r="R31" s="57">
        <v>20</v>
      </c>
      <c r="S31" s="57">
        <v>3</v>
      </c>
      <c r="T31" s="57" t="s">
        <v>1129</v>
      </c>
      <c r="U31" s="57" t="s">
        <v>727</v>
      </c>
      <c r="V31" s="57" t="s">
        <v>728</v>
      </c>
      <c r="W31" s="57">
        <v>20</v>
      </c>
      <c r="X31" s="57">
        <v>3</v>
      </c>
      <c r="Y31" s="57" t="s">
        <v>1129</v>
      </c>
      <c r="Z31" s="57" t="s">
        <v>447</v>
      </c>
      <c r="AA31" s="57" t="s">
        <v>448</v>
      </c>
      <c r="AB31" s="57">
        <v>15</v>
      </c>
      <c r="AC31" s="57">
        <v>3</v>
      </c>
      <c r="AD31" s="57" t="s">
        <v>1125</v>
      </c>
      <c r="AE31" s="57">
        <f t="shared" si="0"/>
        <v>100</v>
      </c>
      <c r="AF31" s="58" t="s">
        <v>386</v>
      </c>
    </row>
    <row r="32" spans="2:32" ht="30" customHeight="1">
      <c r="B32" s="21" t="s">
        <v>127</v>
      </c>
      <c r="C32" s="22" t="s">
        <v>128</v>
      </c>
      <c r="D32" s="22" t="s">
        <v>105</v>
      </c>
      <c r="E32" s="22" t="s">
        <v>14</v>
      </c>
      <c r="F32" s="30" t="s">
        <v>670</v>
      </c>
      <c r="G32" s="30" t="s">
        <v>672</v>
      </c>
      <c r="H32" s="30">
        <v>25</v>
      </c>
      <c r="I32" s="30">
        <v>3</v>
      </c>
      <c r="J32" s="30" t="s">
        <v>1129</v>
      </c>
      <c r="K32" s="54" t="s">
        <v>645</v>
      </c>
      <c r="L32" s="55" t="s">
        <v>647</v>
      </c>
      <c r="M32" s="55">
        <v>20</v>
      </c>
      <c r="N32" s="55">
        <v>3</v>
      </c>
      <c r="O32" s="55" t="s">
        <v>1129</v>
      </c>
      <c r="P32" s="55" t="s">
        <v>973</v>
      </c>
      <c r="Q32" s="55" t="s">
        <v>975</v>
      </c>
      <c r="R32" s="55">
        <v>20</v>
      </c>
      <c r="S32" s="55">
        <v>3</v>
      </c>
      <c r="T32" s="55" t="s">
        <v>1129</v>
      </c>
      <c r="U32" s="55" t="s">
        <v>727</v>
      </c>
      <c r="V32" s="55" t="s">
        <v>728</v>
      </c>
      <c r="W32" s="55">
        <v>20</v>
      </c>
      <c r="X32" s="55">
        <v>3</v>
      </c>
      <c r="Y32" s="55" t="s">
        <v>1129</v>
      </c>
      <c r="Z32" s="55" t="s">
        <v>447</v>
      </c>
      <c r="AA32" s="55" t="s">
        <v>448</v>
      </c>
      <c r="AB32" s="55">
        <v>15</v>
      </c>
      <c r="AC32" s="55">
        <v>3</v>
      </c>
      <c r="AD32" s="55" t="s">
        <v>1125</v>
      </c>
      <c r="AE32" s="55">
        <f t="shared" si="0"/>
        <v>100</v>
      </c>
      <c r="AF32" s="56" t="s">
        <v>386</v>
      </c>
    </row>
    <row r="33" spans="2:32" ht="30" customHeight="1">
      <c r="B33" s="21" t="s">
        <v>130</v>
      </c>
      <c r="C33" s="22" t="s">
        <v>131</v>
      </c>
      <c r="D33" s="22" t="s">
        <v>105</v>
      </c>
      <c r="E33" s="22" t="s">
        <v>14</v>
      </c>
      <c r="F33" s="30" t="s">
        <v>973</v>
      </c>
      <c r="G33" s="30" t="s">
        <v>975</v>
      </c>
      <c r="H33" s="30">
        <v>25</v>
      </c>
      <c r="I33" s="30">
        <v>3</v>
      </c>
      <c r="J33" s="30" t="s">
        <v>1129</v>
      </c>
      <c r="K33" s="54" t="s">
        <v>980</v>
      </c>
      <c r="L33" s="57" t="s">
        <v>981</v>
      </c>
      <c r="M33" s="57">
        <v>20</v>
      </c>
      <c r="N33" s="57">
        <v>3</v>
      </c>
      <c r="O33" s="57" t="s">
        <v>1129</v>
      </c>
      <c r="P33" s="57" t="s">
        <v>986</v>
      </c>
      <c r="Q33" s="57" t="s">
        <v>987</v>
      </c>
      <c r="R33" s="57">
        <v>20</v>
      </c>
      <c r="S33" s="57">
        <v>3</v>
      </c>
      <c r="T33" s="57" t="s">
        <v>1129</v>
      </c>
      <c r="U33" s="57" t="s">
        <v>497</v>
      </c>
      <c r="V33" s="57" t="s">
        <v>498</v>
      </c>
      <c r="W33" s="57">
        <v>20</v>
      </c>
      <c r="X33" s="57">
        <v>3</v>
      </c>
      <c r="Y33" s="57" t="s">
        <v>1125</v>
      </c>
      <c r="Z33" s="57" t="s">
        <v>544</v>
      </c>
      <c r="AA33" s="57" t="s">
        <v>546</v>
      </c>
      <c r="AB33" s="57">
        <v>15</v>
      </c>
      <c r="AC33" s="57">
        <v>3</v>
      </c>
      <c r="AD33" s="57" t="s">
        <v>1126</v>
      </c>
      <c r="AE33" s="57">
        <f t="shared" si="0"/>
        <v>100</v>
      </c>
      <c r="AF33" s="58" t="s">
        <v>386</v>
      </c>
    </row>
    <row r="34" spans="2:32" ht="30" customHeight="1">
      <c r="B34" s="21" t="s">
        <v>134</v>
      </c>
      <c r="C34" s="22" t="s">
        <v>135</v>
      </c>
      <c r="D34" s="22" t="s">
        <v>105</v>
      </c>
      <c r="E34" s="22" t="s">
        <v>14</v>
      </c>
      <c r="F34" s="30" t="s">
        <v>670</v>
      </c>
      <c r="G34" s="30" t="s">
        <v>672</v>
      </c>
      <c r="H34" s="30">
        <v>25</v>
      </c>
      <c r="I34" s="30">
        <v>3</v>
      </c>
      <c r="J34" s="30" t="s">
        <v>1129</v>
      </c>
      <c r="K34" s="54" t="s">
        <v>645</v>
      </c>
      <c r="L34" s="55" t="s">
        <v>647</v>
      </c>
      <c r="M34" s="55">
        <v>20</v>
      </c>
      <c r="N34" s="55">
        <v>3</v>
      </c>
      <c r="O34" s="55" t="s">
        <v>1129</v>
      </c>
      <c r="P34" s="55" t="s">
        <v>973</v>
      </c>
      <c r="Q34" s="55" t="s">
        <v>975</v>
      </c>
      <c r="R34" s="55">
        <v>20</v>
      </c>
      <c r="S34" s="55">
        <v>3</v>
      </c>
      <c r="T34" s="55" t="s">
        <v>1129</v>
      </c>
      <c r="U34" s="55" t="s">
        <v>727</v>
      </c>
      <c r="V34" s="55" t="s">
        <v>728</v>
      </c>
      <c r="W34" s="55">
        <v>20</v>
      </c>
      <c r="X34" s="55">
        <v>3</v>
      </c>
      <c r="Y34" s="55" t="s">
        <v>1129</v>
      </c>
      <c r="Z34" s="55" t="s">
        <v>447</v>
      </c>
      <c r="AA34" s="55" t="s">
        <v>448</v>
      </c>
      <c r="AB34" s="55">
        <v>15</v>
      </c>
      <c r="AC34" s="55">
        <v>3</v>
      </c>
      <c r="AD34" s="55" t="s">
        <v>1125</v>
      </c>
      <c r="AE34" s="55">
        <f t="shared" si="0"/>
        <v>100</v>
      </c>
      <c r="AF34" s="56" t="s">
        <v>386</v>
      </c>
    </row>
    <row r="35" spans="2:32" ht="30" customHeight="1">
      <c r="B35" s="21" t="s">
        <v>138</v>
      </c>
      <c r="C35" s="22" t="s">
        <v>139</v>
      </c>
      <c r="D35" s="22" t="s">
        <v>105</v>
      </c>
      <c r="E35" s="22" t="s">
        <v>14</v>
      </c>
      <c r="F35" s="30" t="s">
        <v>670</v>
      </c>
      <c r="G35" s="30" t="s">
        <v>672</v>
      </c>
      <c r="H35" s="30">
        <v>25</v>
      </c>
      <c r="I35" s="30">
        <v>3</v>
      </c>
      <c r="J35" s="30" t="s">
        <v>1129</v>
      </c>
      <c r="K35" s="54" t="s">
        <v>645</v>
      </c>
      <c r="L35" s="57" t="s">
        <v>647</v>
      </c>
      <c r="M35" s="57">
        <v>20</v>
      </c>
      <c r="N35" s="57">
        <v>3</v>
      </c>
      <c r="O35" s="57" t="s">
        <v>1129</v>
      </c>
      <c r="P35" s="57" t="s">
        <v>973</v>
      </c>
      <c r="Q35" s="57" t="s">
        <v>975</v>
      </c>
      <c r="R35" s="57">
        <v>20</v>
      </c>
      <c r="S35" s="57">
        <v>3</v>
      </c>
      <c r="T35" s="57" t="s">
        <v>1129</v>
      </c>
      <c r="U35" s="57" t="s">
        <v>727</v>
      </c>
      <c r="V35" s="57" t="s">
        <v>728</v>
      </c>
      <c r="W35" s="57">
        <v>20</v>
      </c>
      <c r="X35" s="57">
        <v>3</v>
      </c>
      <c r="Y35" s="57" t="s">
        <v>1129</v>
      </c>
      <c r="Z35" s="57" t="s">
        <v>447</v>
      </c>
      <c r="AA35" s="57" t="s">
        <v>448</v>
      </c>
      <c r="AB35" s="57">
        <v>15</v>
      </c>
      <c r="AC35" s="57">
        <v>3</v>
      </c>
      <c r="AD35" s="57" t="s">
        <v>1125</v>
      </c>
      <c r="AE35" s="57">
        <f t="shared" si="0"/>
        <v>100</v>
      </c>
      <c r="AF35" s="58" t="s">
        <v>386</v>
      </c>
    </row>
    <row r="36" spans="2:32" ht="30" customHeight="1">
      <c r="B36" s="21" t="s">
        <v>119</v>
      </c>
      <c r="C36" s="22" t="s">
        <v>142</v>
      </c>
      <c r="D36" s="22" t="s">
        <v>105</v>
      </c>
      <c r="E36" s="22" t="s">
        <v>14</v>
      </c>
      <c r="F36" s="30" t="s">
        <v>670</v>
      </c>
      <c r="G36" s="30" t="s">
        <v>672</v>
      </c>
      <c r="H36" s="30">
        <v>25</v>
      </c>
      <c r="I36" s="30">
        <v>3</v>
      </c>
      <c r="J36" s="30" t="s">
        <v>1129</v>
      </c>
      <c r="K36" s="54" t="s">
        <v>645</v>
      </c>
      <c r="L36" s="55" t="s">
        <v>647</v>
      </c>
      <c r="M36" s="55">
        <v>20</v>
      </c>
      <c r="N36" s="55">
        <v>3</v>
      </c>
      <c r="O36" s="55" t="s">
        <v>1129</v>
      </c>
      <c r="P36" s="55" t="s">
        <v>973</v>
      </c>
      <c r="Q36" s="55" t="s">
        <v>975</v>
      </c>
      <c r="R36" s="55">
        <v>20</v>
      </c>
      <c r="S36" s="55">
        <v>3</v>
      </c>
      <c r="T36" s="55" t="s">
        <v>1129</v>
      </c>
      <c r="U36" s="55" t="s">
        <v>727</v>
      </c>
      <c r="V36" s="55" t="s">
        <v>728</v>
      </c>
      <c r="W36" s="55">
        <v>20</v>
      </c>
      <c r="X36" s="55">
        <v>3</v>
      </c>
      <c r="Y36" s="55" t="s">
        <v>1129</v>
      </c>
      <c r="Z36" s="55" t="s">
        <v>447</v>
      </c>
      <c r="AA36" s="55" t="s">
        <v>448</v>
      </c>
      <c r="AB36" s="55">
        <v>15</v>
      </c>
      <c r="AC36" s="55">
        <v>3</v>
      </c>
      <c r="AD36" s="55" t="s">
        <v>1125</v>
      </c>
      <c r="AE36" s="55">
        <f t="shared" si="0"/>
        <v>100</v>
      </c>
      <c r="AF36" s="56" t="s">
        <v>386</v>
      </c>
    </row>
    <row r="37" spans="2:32" ht="30" customHeight="1">
      <c r="B37" s="21" t="s">
        <v>144</v>
      </c>
      <c r="C37" s="22" t="s">
        <v>145</v>
      </c>
      <c r="D37" s="22" t="s">
        <v>105</v>
      </c>
      <c r="E37" s="22" t="s">
        <v>14</v>
      </c>
      <c r="F37" s="30" t="s">
        <v>670</v>
      </c>
      <c r="G37" s="30" t="s">
        <v>672</v>
      </c>
      <c r="H37" s="30">
        <v>25</v>
      </c>
      <c r="I37" s="30">
        <v>3</v>
      </c>
      <c r="J37" s="30" t="s">
        <v>1129</v>
      </c>
      <c r="K37" s="54" t="s">
        <v>645</v>
      </c>
      <c r="L37" s="57" t="s">
        <v>647</v>
      </c>
      <c r="M37" s="57">
        <v>20</v>
      </c>
      <c r="N37" s="57">
        <v>3</v>
      </c>
      <c r="O37" s="57" t="s">
        <v>1129</v>
      </c>
      <c r="P37" s="57" t="s">
        <v>973</v>
      </c>
      <c r="Q37" s="57" t="s">
        <v>975</v>
      </c>
      <c r="R37" s="57">
        <v>20</v>
      </c>
      <c r="S37" s="57">
        <v>3</v>
      </c>
      <c r="T37" s="57" t="s">
        <v>1129</v>
      </c>
      <c r="U37" s="57" t="s">
        <v>727</v>
      </c>
      <c r="V37" s="57" t="s">
        <v>728</v>
      </c>
      <c r="W37" s="57">
        <v>20</v>
      </c>
      <c r="X37" s="57">
        <v>3</v>
      </c>
      <c r="Y37" s="57" t="s">
        <v>1129</v>
      </c>
      <c r="Z37" s="57" t="s">
        <v>447</v>
      </c>
      <c r="AA37" s="57" t="s">
        <v>448</v>
      </c>
      <c r="AB37" s="57">
        <v>15</v>
      </c>
      <c r="AC37" s="57">
        <v>3</v>
      </c>
      <c r="AD37" s="57" t="s">
        <v>1125</v>
      </c>
      <c r="AE37" s="57">
        <f t="shared" si="0"/>
        <v>100</v>
      </c>
      <c r="AF37" s="58" t="s">
        <v>386</v>
      </c>
    </row>
    <row r="38" spans="2:32" ht="30" customHeight="1">
      <c r="B38" s="21" t="s">
        <v>148</v>
      </c>
      <c r="C38" s="22" t="s">
        <v>149</v>
      </c>
      <c r="D38" s="22" t="s">
        <v>105</v>
      </c>
      <c r="E38" s="22" t="s">
        <v>14</v>
      </c>
      <c r="F38" s="30" t="s">
        <v>670</v>
      </c>
      <c r="G38" s="30" t="s">
        <v>672</v>
      </c>
      <c r="H38" s="30">
        <v>25</v>
      </c>
      <c r="I38" s="30">
        <v>3</v>
      </c>
      <c r="J38" s="30" t="s">
        <v>1129</v>
      </c>
      <c r="K38" s="54" t="s">
        <v>645</v>
      </c>
      <c r="L38" s="55" t="s">
        <v>647</v>
      </c>
      <c r="M38" s="55">
        <v>20</v>
      </c>
      <c r="N38" s="55">
        <v>3</v>
      </c>
      <c r="O38" s="55" t="s">
        <v>1129</v>
      </c>
      <c r="P38" s="55" t="s">
        <v>973</v>
      </c>
      <c r="Q38" s="55" t="s">
        <v>975</v>
      </c>
      <c r="R38" s="55">
        <v>20</v>
      </c>
      <c r="S38" s="55">
        <v>3</v>
      </c>
      <c r="T38" s="55" t="s">
        <v>1129</v>
      </c>
      <c r="U38" s="55" t="s">
        <v>727</v>
      </c>
      <c r="V38" s="55" t="s">
        <v>728</v>
      </c>
      <c r="W38" s="55">
        <v>20</v>
      </c>
      <c r="X38" s="55">
        <v>3</v>
      </c>
      <c r="Y38" s="55" t="s">
        <v>1129</v>
      </c>
      <c r="Z38" s="55" t="s">
        <v>447</v>
      </c>
      <c r="AA38" s="55" t="s">
        <v>448</v>
      </c>
      <c r="AB38" s="55">
        <v>15</v>
      </c>
      <c r="AC38" s="55">
        <v>3</v>
      </c>
      <c r="AD38" s="55" t="s">
        <v>1125</v>
      </c>
      <c r="AE38" s="55">
        <f t="shared" si="0"/>
        <v>100</v>
      </c>
      <c r="AF38" s="56" t="s">
        <v>386</v>
      </c>
    </row>
    <row r="39" spans="2:32" ht="30" customHeight="1">
      <c r="B39" s="21" t="s">
        <v>152</v>
      </c>
      <c r="C39" s="22" t="s">
        <v>153</v>
      </c>
      <c r="D39" s="22" t="s">
        <v>153</v>
      </c>
      <c r="E39" s="22" t="s">
        <v>23</v>
      </c>
      <c r="F39" s="30" t="s">
        <v>1073</v>
      </c>
      <c r="G39" s="30" t="s">
        <v>1075</v>
      </c>
      <c r="H39" s="30">
        <v>25</v>
      </c>
      <c r="I39" s="30">
        <v>4</v>
      </c>
      <c r="J39" s="30" t="s">
        <v>1130</v>
      </c>
      <c r="K39" s="54" t="s">
        <v>1077</v>
      </c>
      <c r="L39" s="57" t="s">
        <v>1078</v>
      </c>
      <c r="M39" s="57">
        <v>20</v>
      </c>
      <c r="N39" s="57">
        <v>4</v>
      </c>
      <c r="O39" s="57" t="s">
        <v>1130</v>
      </c>
      <c r="P39" s="57" t="s">
        <v>1080</v>
      </c>
      <c r="Q39" s="57" t="s">
        <v>1081</v>
      </c>
      <c r="R39" s="57">
        <v>20</v>
      </c>
      <c r="S39" s="57">
        <v>4</v>
      </c>
      <c r="T39" s="57" t="s">
        <v>1130</v>
      </c>
      <c r="U39" s="57" t="s">
        <v>610</v>
      </c>
      <c r="V39" s="57" t="s">
        <v>611</v>
      </c>
      <c r="W39" s="57">
        <v>20</v>
      </c>
      <c r="X39" s="57">
        <v>4</v>
      </c>
      <c r="Y39" s="57" t="s">
        <v>1126</v>
      </c>
      <c r="Z39" s="57" t="s">
        <v>907</v>
      </c>
      <c r="AA39" s="57" t="s">
        <v>908</v>
      </c>
      <c r="AB39" s="57">
        <v>15</v>
      </c>
      <c r="AC39" s="57">
        <v>4</v>
      </c>
      <c r="AD39" s="57" t="s">
        <v>1128</v>
      </c>
      <c r="AE39" s="57">
        <f t="shared" si="0"/>
        <v>100</v>
      </c>
      <c r="AF39" s="58" t="s">
        <v>386</v>
      </c>
    </row>
    <row r="40" spans="2:32" ht="30" customHeight="1">
      <c r="B40" s="21" t="s">
        <v>155</v>
      </c>
      <c r="C40" s="22" t="s">
        <v>156</v>
      </c>
      <c r="D40" s="22" t="s">
        <v>153</v>
      </c>
      <c r="E40" s="22" t="s">
        <v>23</v>
      </c>
      <c r="F40" s="30" t="s">
        <v>1073</v>
      </c>
      <c r="G40" s="30" t="s">
        <v>1075</v>
      </c>
      <c r="H40" s="30">
        <v>25</v>
      </c>
      <c r="I40" s="30">
        <v>3</v>
      </c>
      <c r="J40" s="30" t="s">
        <v>1130</v>
      </c>
      <c r="K40" s="54" t="s">
        <v>1077</v>
      </c>
      <c r="L40" s="55" t="s">
        <v>1078</v>
      </c>
      <c r="M40" s="55">
        <v>20</v>
      </c>
      <c r="N40" s="55">
        <v>3</v>
      </c>
      <c r="O40" s="55" t="s">
        <v>1130</v>
      </c>
      <c r="P40" s="55" t="s">
        <v>1080</v>
      </c>
      <c r="Q40" s="55" t="s">
        <v>1081</v>
      </c>
      <c r="R40" s="55">
        <v>20</v>
      </c>
      <c r="S40" s="55">
        <v>3</v>
      </c>
      <c r="T40" s="55" t="s">
        <v>1130</v>
      </c>
      <c r="U40" s="55" t="s">
        <v>610</v>
      </c>
      <c r="V40" s="55" t="s">
        <v>611</v>
      </c>
      <c r="W40" s="55">
        <v>20</v>
      </c>
      <c r="X40" s="55">
        <v>3</v>
      </c>
      <c r="Y40" s="55" t="s">
        <v>1126</v>
      </c>
      <c r="Z40" s="55" t="s">
        <v>907</v>
      </c>
      <c r="AA40" s="55" t="s">
        <v>908</v>
      </c>
      <c r="AB40" s="55">
        <v>15</v>
      </c>
      <c r="AC40" s="55">
        <v>3</v>
      </c>
      <c r="AD40" s="55" t="s">
        <v>1128</v>
      </c>
      <c r="AE40" s="55">
        <f t="shared" si="0"/>
        <v>100</v>
      </c>
      <c r="AF40" s="56" t="s">
        <v>386</v>
      </c>
    </row>
    <row r="41" spans="2:32" ht="30" customHeight="1">
      <c r="B41" s="21" t="s">
        <v>159</v>
      </c>
      <c r="C41" s="22" t="s">
        <v>160</v>
      </c>
      <c r="D41" s="22" t="s">
        <v>153</v>
      </c>
      <c r="E41" s="22" t="s">
        <v>23</v>
      </c>
      <c r="F41" s="30" t="s">
        <v>1073</v>
      </c>
      <c r="G41" s="30" t="s">
        <v>1075</v>
      </c>
      <c r="H41" s="30">
        <v>25</v>
      </c>
      <c r="I41" s="30">
        <v>3</v>
      </c>
      <c r="J41" s="30" t="s">
        <v>1130</v>
      </c>
      <c r="K41" s="54" t="s">
        <v>1077</v>
      </c>
      <c r="L41" s="57" t="s">
        <v>1078</v>
      </c>
      <c r="M41" s="57">
        <v>20</v>
      </c>
      <c r="N41" s="57">
        <v>3</v>
      </c>
      <c r="O41" s="57" t="s">
        <v>1130</v>
      </c>
      <c r="P41" s="57" t="s">
        <v>1080</v>
      </c>
      <c r="Q41" s="57" t="s">
        <v>1081</v>
      </c>
      <c r="R41" s="57">
        <v>20</v>
      </c>
      <c r="S41" s="57">
        <v>3</v>
      </c>
      <c r="T41" s="57" t="s">
        <v>1130</v>
      </c>
      <c r="U41" s="57" t="s">
        <v>610</v>
      </c>
      <c r="V41" s="57" t="s">
        <v>611</v>
      </c>
      <c r="W41" s="57">
        <v>20</v>
      </c>
      <c r="X41" s="57">
        <v>3</v>
      </c>
      <c r="Y41" s="57" t="s">
        <v>1126</v>
      </c>
      <c r="Z41" s="57" t="s">
        <v>907</v>
      </c>
      <c r="AA41" s="57" t="s">
        <v>908</v>
      </c>
      <c r="AB41" s="57">
        <v>15</v>
      </c>
      <c r="AC41" s="57">
        <v>3</v>
      </c>
      <c r="AD41" s="57" t="s">
        <v>1128</v>
      </c>
      <c r="AE41" s="57">
        <f t="shared" si="0"/>
        <v>100</v>
      </c>
      <c r="AF41" s="58" t="s">
        <v>386</v>
      </c>
    </row>
    <row r="42" spans="2:32" ht="30" customHeight="1">
      <c r="B42" s="21" t="s">
        <v>163</v>
      </c>
      <c r="C42" s="22" t="s">
        <v>164</v>
      </c>
      <c r="D42" s="22" t="s">
        <v>153</v>
      </c>
      <c r="E42" s="22" t="s">
        <v>23</v>
      </c>
      <c r="F42" s="30" t="s">
        <v>1073</v>
      </c>
      <c r="G42" s="30" t="s">
        <v>1075</v>
      </c>
      <c r="H42" s="30">
        <v>25</v>
      </c>
      <c r="I42" s="30">
        <v>3</v>
      </c>
      <c r="J42" s="30" t="s">
        <v>1130</v>
      </c>
      <c r="K42" s="54" t="s">
        <v>1077</v>
      </c>
      <c r="L42" s="55" t="s">
        <v>1078</v>
      </c>
      <c r="M42" s="55">
        <v>20</v>
      </c>
      <c r="N42" s="55">
        <v>3</v>
      </c>
      <c r="O42" s="55" t="s">
        <v>1130</v>
      </c>
      <c r="P42" s="55" t="s">
        <v>1080</v>
      </c>
      <c r="Q42" s="55" t="s">
        <v>1081</v>
      </c>
      <c r="R42" s="55">
        <v>20</v>
      </c>
      <c r="S42" s="55">
        <v>3</v>
      </c>
      <c r="T42" s="55" t="s">
        <v>1130</v>
      </c>
      <c r="U42" s="55" t="s">
        <v>610</v>
      </c>
      <c r="V42" s="55" t="s">
        <v>611</v>
      </c>
      <c r="W42" s="55">
        <v>20</v>
      </c>
      <c r="X42" s="55">
        <v>3</v>
      </c>
      <c r="Y42" s="55" t="s">
        <v>1126</v>
      </c>
      <c r="Z42" s="55" t="s">
        <v>907</v>
      </c>
      <c r="AA42" s="55" t="s">
        <v>908</v>
      </c>
      <c r="AB42" s="55">
        <v>15</v>
      </c>
      <c r="AC42" s="55">
        <v>3</v>
      </c>
      <c r="AD42" s="55" t="s">
        <v>1128</v>
      </c>
      <c r="AE42" s="55">
        <f t="shared" si="0"/>
        <v>100</v>
      </c>
      <c r="AF42" s="56" t="s">
        <v>386</v>
      </c>
    </row>
    <row r="43" spans="2:32" ht="30" customHeight="1">
      <c r="B43" s="21" t="s">
        <v>167</v>
      </c>
      <c r="C43" s="22" t="s">
        <v>168</v>
      </c>
      <c r="D43" s="22" t="s">
        <v>153</v>
      </c>
      <c r="E43" s="22" t="s">
        <v>23</v>
      </c>
      <c r="F43" s="30" t="s">
        <v>1073</v>
      </c>
      <c r="G43" s="30" t="s">
        <v>1075</v>
      </c>
      <c r="H43" s="30">
        <v>25</v>
      </c>
      <c r="I43" s="30">
        <v>3</v>
      </c>
      <c r="J43" s="30" t="s">
        <v>1130</v>
      </c>
      <c r="K43" s="54" t="s">
        <v>1077</v>
      </c>
      <c r="L43" s="57" t="s">
        <v>1078</v>
      </c>
      <c r="M43" s="57">
        <v>20</v>
      </c>
      <c r="N43" s="57">
        <v>3</v>
      </c>
      <c r="O43" s="57" t="s">
        <v>1130</v>
      </c>
      <c r="P43" s="57" t="s">
        <v>1080</v>
      </c>
      <c r="Q43" s="57" t="s">
        <v>1081</v>
      </c>
      <c r="R43" s="57">
        <v>20</v>
      </c>
      <c r="S43" s="57">
        <v>3</v>
      </c>
      <c r="T43" s="57" t="s">
        <v>1130</v>
      </c>
      <c r="U43" s="57" t="s">
        <v>610</v>
      </c>
      <c r="V43" s="57" t="s">
        <v>611</v>
      </c>
      <c r="W43" s="57">
        <v>20</v>
      </c>
      <c r="X43" s="57">
        <v>3</v>
      </c>
      <c r="Y43" s="57" t="s">
        <v>1126</v>
      </c>
      <c r="Z43" s="57" t="s">
        <v>907</v>
      </c>
      <c r="AA43" s="57" t="s">
        <v>908</v>
      </c>
      <c r="AB43" s="57">
        <v>15</v>
      </c>
      <c r="AC43" s="57">
        <v>3</v>
      </c>
      <c r="AD43" s="57" t="s">
        <v>1128</v>
      </c>
      <c r="AE43" s="57">
        <f t="shared" si="0"/>
        <v>100</v>
      </c>
      <c r="AF43" s="58" t="s">
        <v>386</v>
      </c>
    </row>
    <row r="44" spans="2:32" ht="30" customHeight="1">
      <c r="B44" s="21" t="s">
        <v>171</v>
      </c>
      <c r="C44" s="22" t="s">
        <v>172</v>
      </c>
      <c r="D44" s="22" t="s">
        <v>172</v>
      </c>
      <c r="E44" s="22" t="s">
        <v>26</v>
      </c>
      <c r="F44" s="30" t="s">
        <v>392</v>
      </c>
      <c r="G44" s="30" t="s">
        <v>395</v>
      </c>
      <c r="H44" s="30">
        <v>25</v>
      </c>
      <c r="I44" s="30">
        <v>4</v>
      </c>
      <c r="J44" s="30" t="s">
        <v>1125</v>
      </c>
      <c r="K44" s="54" t="s">
        <v>518</v>
      </c>
      <c r="L44" s="55" t="s">
        <v>521</v>
      </c>
      <c r="M44" s="55">
        <v>20</v>
      </c>
      <c r="N44" s="55">
        <v>4</v>
      </c>
      <c r="O44" s="55" t="s">
        <v>1126</v>
      </c>
      <c r="P44" s="55" t="s">
        <v>468</v>
      </c>
      <c r="Q44" s="55" t="s">
        <v>470</v>
      </c>
      <c r="R44" s="55">
        <v>20</v>
      </c>
      <c r="S44" s="55">
        <v>4</v>
      </c>
      <c r="T44" s="55" t="s">
        <v>1125</v>
      </c>
      <c r="U44" s="55" t="s">
        <v>598</v>
      </c>
      <c r="V44" s="55" t="s">
        <v>599</v>
      </c>
      <c r="W44" s="55">
        <v>20</v>
      </c>
      <c r="X44" s="55">
        <v>4</v>
      </c>
      <c r="Y44" s="55" t="s">
        <v>1126</v>
      </c>
      <c r="Z44" s="55" t="s">
        <v>775</v>
      </c>
      <c r="AA44" s="55" t="s">
        <v>776</v>
      </c>
      <c r="AB44" s="55">
        <v>15</v>
      </c>
      <c r="AC44" s="55">
        <v>4</v>
      </c>
      <c r="AD44" s="55" t="s">
        <v>1127</v>
      </c>
      <c r="AE44" s="55">
        <f t="shared" si="0"/>
        <v>100</v>
      </c>
      <c r="AF44" s="56" t="s">
        <v>386</v>
      </c>
    </row>
    <row r="45" spans="2:32" ht="30" customHeight="1">
      <c r="B45" s="21" t="s">
        <v>174</v>
      </c>
      <c r="C45" s="22" t="s">
        <v>175</v>
      </c>
      <c r="D45" s="22" t="s">
        <v>175</v>
      </c>
      <c r="E45" s="22" t="s">
        <v>26</v>
      </c>
      <c r="F45" s="30" t="s">
        <v>998</v>
      </c>
      <c r="G45" s="30" t="s">
        <v>1000</v>
      </c>
      <c r="H45" s="30">
        <v>25</v>
      </c>
      <c r="I45" s="30">
        <v>4</v>
      </c>
      <c r="J45" s="30" t="s">
        <v>1130</v>
      </c>
      <c r="K45" s="54" t="s">
        <v>1005</v>
      </c>
      <c r="L45" s="57" t="s">
        <v>1006</v>
      </c>
      <c r="M45" s="57">
        <v>20</v>
      </c>
      <c r="N45" s="57">
        <v>4</v>
      </c>
      <c r="O45" s="57" t="s">
        <v>1130</v>
      </c>
      <c r="P45" s="57" t="s">
        <v>1011</v>
      </c>
      <c r="Q45" s="57" t="s">
        <v>1012</v>
      </c>
      <c r="R45" s="57">
        <v>20</v>
      </c>
      <c r="S45" s="57">
        <v>4</v>
      </c>
      <c r="T45" s="57" t="s">
        <v>1130</v>
      </c>
      <c r="U45" s="57" t="s">
        <v>573</v>
      </c>
      <c r="V45" s="57" t="s">
        <v>574</v>
      </c>
      <c r="W45" s="57">
        <v>20</v>
      </c>
      <c r="X45" s="57">
        <v>4</v>
      </c>
      <c r="Y45" s="57" t="s">
        <v>1126</v>
      </c>
      <c r="Z45" s="57" t="s">
        <v>926</v>
      </c>
      <c r="AA45" s="57" t="s">
        <v>927</v>
      </c>
      <c r="AB45" s="57">
        <v>15</v>
      </c>
      <c r="AC45" s="57">
        <v>4</v>
      </c>
      <c r="AD45" s="57" t="s">
        <v>1128</v>
      </c>
      <c r="AE45" s="57">
        <f t="shared" si="0"/>
        <v>100</v>
      </c>
      <c r="AF45" s="58" t="s">
        <v>386</v>
      </c>
    </row>
    <row r="46" spans="2:32" ht="30" customHeight="1">
      <c r="B46" s="21" t="s">
        <v>177</v>
      </c>
      <c r="C46" s="22" t="s">
        <v>178</v>
      </c>
      <c r="D46" s="22" t="s">
        <v>178</v>
      </c>
      <c r="E46" s="22" t="s">
        <v>14</v>
      </c>
      <c r="F46" s="30" t="s">
        <v>392</v>
      </c>
      <c r="G46" s="30" t="s">
        <v>395</v>
      </c>
      <c r="H46" s="30">
        <v>25</v>
      </c>
      <c r="I46" s="30">
        <v>4</v>
      </c>
      <c r="J46" s="30" t="s">
        <v>1125</v>
      </c>
      <c r="K46" s="54" t="s">
        <v>518</v>
      </c>
      <c r="L46" s="55" t="s">
        <v>521</v>
      </c>
      <c r="M46" s="55">
        <v>20</v>
      </c>
      <c r="N46" s="55">
        <v>4</v>
      </c>
      <c r="O46" s="55" t="s">
        <v>1126</v>
      </c>
      <c r="P46" s="55" t="s">
        <v>468</v>
      </c>
      <c r="Q46" s="55" t="s">
        <v>470</v>
      </c>
      <c r="R46" s="55">
        <v>20</v>
      </c>
      <c r="S46" s="55">
        <v>4</v>
      </c>
      <c r="T46" s="55" t="s">
        <v>1125</v>
      </c>
      <c r="U46" s="55" t="s">
        <v>598</v>
      </c>
      <c r="V46" s="55" t="s">
        <v>599</v>
      </c>
      <c r="W46" s="55">
        <v>20</v>
      </c>
      <c r="X46" s="55">
        <v>4</v>
      </c>
      <c r="Y46" s="55" t="s">
        <v>1126</v>
      </c>
      <c r="Z46" s="55" t="s">
        <v>775</v>
      </c>
      <c r="AA46" s="55" t="s">
        <v>776</v>
      </c>
      <c r="AB46" s="55">
        <v>15</v>
      </c>
      <c r="AC46" s="55">
        <v>4</v>
      </c>
      <c r="AD46" s="55" t="s">
        <v>1127</v>
      </c>
      <c r="AE46" s="55">
        <f t="shared" si="0"/>
        <v>100</v>
      </c>
      <c r="AF46" s="56" t="s">
        <v>386</v>
      </c>
    </row>
    <row r="47" spans="2:32" ht="30" customHeight="1">
      <c r="B47" s="21" t="s">
        <v>181</v>
      </c>
      <c r="C47" s="22" t="s">
        <v>182</v>
      </c>
      <c r="D47" s="22" t="s">
        <v>182</v>
      </c>
      <c r="E47" s="22" t="s">
        <v>32</v>
      </c>
      <c r="F47" s="30" t="s">
        <v>392</v>
      </c>
      <c r="G47" s="30" t="s">
        <v>395</v>
      </c>
      <c r="H47" s="30">
        <v>25</v>
      </c>
      <c r="I47" s="30">
        <v>4</v>
      </c>
      <c r="J47" s="30" t="s">
        <v>1125</v>
      </c>
      <c r="K47" s="54" t="s">
        <v>518</v>
      </c>
      <c r="L47" s="57" t="s">
        <v>521</v>
      </c>
      <c r="M47" s="57">
        <v>20</v>
      </c>
      <c r="N47" s="57">
        <v>4</v>
      </c>
      <c r="O47" s="57" t="s">
        <v>1126</v>
      </c>
      <c r="P47" s="57" t="s">
        <v>468</v>
      </c>
      <c r="Q47" s="57" t="s">
        <v>470</v>
      </c>
      <c r="R47" s="57">
        <v>20</v>
      </c>
      <c r="S47" s="57">
        <v>4</v>
      </c>
      <c r="T47" s="57" t="s">
        <v>1125</v>
      </c>
      <c r="U47" s="57" t="s">
        <v>598</v>
      </c>
      <c r="V47" s="57" t="s">
        <v>599</v>
      </c>
      <c r="W47" s="57">
        <v>20</v>
      </c>
      <c r="X47" s="57">
        <v>4</v>
      </c>
      <c r="Y47" s="57" t="s">
        <v>1126</v>
      </c>
      <c r="Z47" s="57" t="s">
        <v>775</v>
      </c>
      <c r="AA47" s="57" t="s">
        <v>776</v>
      </c>
      <c r="AB47" s="57">
        <v>15</v>
      </c>
      <c r="AC47" s="57">
        <v>4</v>
      </c>
      <c r="AD47" s="57" t="s">
        <v>1127</v>
      </c>
      <c r="AE47" s="57">
        <f t="shared" si="0"/>
        <v>100</v>
      </c>
      <c r="AF47" s="58" t="s">
        <v>386</v>
      </c>
    </row>
    <row r="48" spans="2:32" ht="30" customHeight="1">
      <c r="B48" s="21" t="s">
        <v>185</v>
      </c>
      <c r="C48" s="22" t="s">
        <v>186</v>
      </c>
      <c r="D48" s="22" t="s">
        <v>182</v>
      </c>
      <c r="E48" s="22" t="s">
        <v>32</v>
      </c>
      <c r="F48" s="30" t="s">
        <v>392</v>
      </c>
      <c r="G48" s="30" t="s">
        <v>395</v>
      </c>
      <c r="H48" s="30">
        <v>25</v>
      </c>
      <c r="I48" s="30">
        <v>3</v>
      </c>
      <c r="J48" s="30" t="s">
        <v>1125</v>
      </c>
      <c r="K48" s="54" t="s">
        <v>518</v>
      </c>
      <c r="L48" s="55" t="s">
        <v>521</v>
      </c>
      <c r="M48" s="55">
        <v>20</v>
      </c>
      <c r="N48" s="55">
        <v>3</v>
      </c>
      <c r="O48" s="55" t="s">
        <v>1126</v>
      </c>
      <c r="P48" s="55" t="s">
        <v>468</v>
      </c>
      <c r="Q48" s="55" t="s">
        <v>470</v>
      </c>
      <c r="R48" s="55">
        <v>20</v>
      </c>
      <c r="S48" s="55">
        <v>3</v>
      </c>
      <c r="T48" s="55" t="s">
        <v>1125</v>
      </c>
      <c r="U48" s="55" t="s">
        <v>598</v>
      </c>
      <c r="V48" s="55" t="s">
        <v>599</v>
      </c>
      <c r="W48" s="55">
        <v>20</v>
      </c>
      <c r="X48" s="55">
        <v>3</v>
      </c>
      <c r="Y48" s="55" t="s">
        <v>1126</v>
      </c>
      <c r="Z48" s="55" t="s">
        <v>775</v>
      </c>
      <c r="AA48" s="55" t="s">
        <v>776</v>
      </c>
      <c r="AB48" s="55">
        <v>15</v>
      </c>
      <c r="AC48" s="55">
        <v>3</v>
      </c>
      <c r="AD48" s="55" t="s">
        <v>1127</v>
      </c>
      <c r="AE48" s="55">
        <f t="shared" si="0"/>
        <v>100</v>
      </c>
      <c r="AF48" s="56" t="s">
        <v>386</v>
      </c>
    </row>
    <row r="49" spans="2:32" ht="30" customHeight="1">
      <c r="B49" s="21" t="s">
        <v>189</v>
      </c>
      <c r="C49" s="22" t="s">
        <v>190</v>
      </c>
      <c r="D49" s="22" t="s">
        <v>182</v>
      </c>
      <c r="E49" s="22" t="s">
        <v>32</v>
      </c>
      <c r="F49" s="30" t="s">
        <v>392</v>
      </c>
      <c r="G49" s="30" t="s">
        <v>395</v>
      </c>
      <c r="H49" s="30">
        <v>25</v>
      </c>
      <c r="I49" s="30">
        <v>3</v>
      </c>
      <c r="J49" s="30" t="s">
        <v>1125</v>
      </c>
      <c r="K49" s="54" t="s">
        <v>518</v>
      </c>
      <c r="L49" s="57" t="s">
        <v>521</v>
      </c>
      <c r="M49" s="57">
        <v>20</v>
      </c>
      <c r="N49" s="57">
        <v>3</v>
      </c>
      <c r="O49" s="57" t="s">
        <v>1126</v>
      </c>
      <c r="P49" s="57" t="s">
        <v>468</v>
      </c>
      <c r="Q49" s="57" t="s">
        <v>470</v>
      </c>
      <c r="R49" s="57">
        <v>20</v>
      </c>
      <c r="S49" s="57">
        <v>3</v>
      </c>
      <c r="T49" s="57" t="s">
        <v>1125</v>
      </c>
      <c r="U49" s="57" t="s">
        <v>598</v>
      </c>
      <c r="V49" s="57" t="s">
        <v>599</v>
      </c>
      <c r="W49" s="57">
        <v>20</v>
      </c>
      <c r="X49" s="57">
        <v>3</v>
      </c>
      <c r="Y49" s="57" t="s">
        <v>1126</v>
      </c>
      <c r="Z49" s="57" t="s">
        <v>775</v>
      </c>
      <c r="AA49" s="57" t="s">
        <v>776</v>
      </c>
      <c r="AB49" s="57">
        <v>15</v>
      </c>
      <c r="AC49" s="57">
        <v>3</v>
      </c>
      <c r="AD49" s="57" t="s">
        <v>1127</v>
      </c>
      <c r="AE49" s="57">
        <f t="shared" si="0"/>
        <v>100</v>
      </c>
      <c r="AF49" s="58" t="s">
        <v>386</v>
      </c>
    </row>
    <row r="50" spans="2:32" ht="30" customHeight="1">
      <c r="B50" s="21" t="s">
        <v>193</v>
      </c>
      <c r="C50" s="22" t="s">
        <v>194</v>
      </c>
      <c r="D50" s="22" t="s">
        <v>182</v>
      </c>
      <c r="E50" s="22" t="s">
        <v>32</v>
      </c>
      <c r="F50" s="30" t="s">
        <v>392</v>
      </c>
      <c r="G50" s="30" t="s">
        <v>395</v>
      </c>
      <c r="H50" s="30">
        <v>25</v>
      </c>
      <c r="I50" s="30">
        <v>3</v>
      </c>
      <c r="J50" s="30" t="s">
        <v>1125</v>
      </c>
      <c r="K50" s="54" t="s">
        <v>518</v>
      </c>
      <c r="L50" s="55" t="s">
        <v>521</v>
      </c>
      <c r="M50" s="55">
        <v>20</v>
      </c>
      <c r="N50" s="55">
        <v>3</v>
      </c>
      <c r="O50" s="55" t="s">
        <v>1126</v>
      </c>
      <c r="P50" s="55" t="s">
        <v>468</v>
      </c>
      <c r="Q50" s="55" t="s">
        <v>470</v>
      </c>
      <c r="R50" s="55">
        <v>20</v>
      </c>
      <c r="S50" s="55">
        <v>3</v>
      </c>
      <c r="T50" s="55" t="s">
        <v>1125</v>
      </c>
      <c r="U50" s="55" t="s">
        <v>598</v>
      </c>
      <c r="V50" s="55" t="s">
        <v>599</v>
      </c>
      <c r="W50" s="55">
        <v>20</v>
      </c>
      <c r="X50" s="55">
        <v>3</v>
      </c>
      <c r="Y50" s="55" t="s">
        <v>1126</v>
      </c>
      <c r="Z50" s="55" t="s">
        <v>775</v>
      </c>
      <c r="AA50" s="55" t="s">
        <v>776</v>
      </c>
      <c r="AB50" s="55">
        <v>15</v>
      </c>
      <c r="AC50" s="55">
        <v>3</v>
      </c>
      <c r="AD50" s="55" t="s">
        <v>1127</v>
      </c>
      <c r="AE50" s="55">
        <f t="shared" si="0"/>
        <v>100</v>
      </c>
      <c r="AF50" s="56" t="s">
        <v>386</v>
      </c>
    </row>
    <row r="51" spans="2:32" ht="30" customHeight="1">
      <c r="B51" s="21" t="s">
        <v>197</v>
      </c>
      <c r="C51" s="22" t="s">
        <v>198</v>
      </c>
      <c r="D51" s="22" t="s">
        <v>182</v>
      </c>
      <c r="E51" s="22" t="s">
        <v>32</v>
      </c>
      <c r="F51" s="30" t="s">
        <v>392</v>
      </c>
      <c r="G51" s="30" t="s">
        <v>395</v>
      </c>
      <c r="H51" s="30">
        <v>25</v>
      </c>
      <c r="I51" s="30">
        <v>3</v>
      </c>
      <c r="J51" s="30" t="s">
        <v>1125</v>
      </c>
      <c r="K51" s="54" t="s">
        <v>518</v>
      </c>
      <c r="L51" s="57" t="s">
        <v>521</v>
      </c>
      <c r="M51" s="57">
        <v>20</v>
      </c>
      <c r="N51" s="57">
        <v>3</v>
      </c>
      <c r="O51" s="57" t="s">
        <v>1126</v>
      </c>
      <c r="P51" s="57" t="s">
        <v>468</v>
      </c>
      <c r="Q51" s="57" t="s">
        <v>470</v>
      </c>
      <c r="R51" s="57">
        <v>20</v>
      </c>
      <c r="S51" s="57">
        <v>3</v>
      </c>
      <c r="T51" s="57" t="s">
        <v>1125</v>
      </c>
      <c r="U51" s="57" t="s">
        <v>598</v>
      </c>
      <c r="V51" s="57" t="s">
        <v>599</v>
      </c>
      <c r="W51" s="57">
        <v>20</v>
      </c>
      <c r="X51" s="57">
        <v>3</v>
      </c>
      <c r="Y51" s="57" t="s">
        <v>1126</v>
      </c>
      <c r="Z51" s="57" t="s">
        <v>775</v>
      </c>
      <c r="AA51" s="57" t="s">
        <v>776</v>
      </c>
      <c r="AB51" s="57">
        <v>15</v>
      </c>
      <c r="AC51" s="57">
        <v>3</v>
      </c>
      <c r="AD51" s="57" t="s">
        <v>1127</v>
      </c>
      <c r="AE51" s="57">
        <f t="shared" si="0"/>
        <v>100</v>
      </c>
      <c r="AF51" s="58" t="s">
        <v>386</v>
      </c>
    </row>
    <row r="52" spans="2:32" ht="30" customHeight="1">
      <c r="B52" s="21" t="s">
        <v>201</v>
      </c>
      <c r="C52" s="22" t="s">
        <v>202</v>
      </c>
      <c r="D52" s="22" t="s">
        <v>182</v>
      </c>
      <c r="E52" s="22" t="s">
        <v>32</v>
      </c>
      <c r="F52" s="30" t="s">
        <v>392</v>
      </c>
      <c r="G52" s="30" t="s">
        <v>395</v>
      </c>
      <c r="H52" s="30">
        <v>25</v>
      </c>
      <c r="I52" s="30">
        <v>3</v>
      </c>
      <c r="J52" s="30" t="s">
        <v>1125</v>
      </c>
      <c r="K52" s="54" t="s">
        <v>518</v>
      </c>
      <c r="L52" s="55" t="s">
        <v>521</v>
      </c>
      <c r="M52" s="55">
        <v>20</v>
      </c>
      <c r="N52" s="55">
        <v>3</v>
      </c>
      <c r="O52" s="55" t="s">
        <v>1126</v>
      </c>
      <c r="P52" s="55" t="s">
        <v>468</v>
      </c>
      <c r="Q52" s="55" t="s">
        <v>470</v>
      </c>
      <c r="R52" s="55">
        <v>20</v>
      </c>
      <c r="S52" s="55">
        <v>3</v>
      </c>
      <c r="T52" s="55" t="s">
        <v>1125</v>
      </c>
      <c r="U52" s="55" t="s">
        <v>598</v>
      </c>
      <c r="V52" s="55" t="s">
        <v>599</v>
      </c>
      <c r="W52" s="55">
        <v>20</v>
      </c>
      <c r="X52" s="55">
        <v>3</v>
      </c>
      <c r="Y52" s="55" t="s">
        <v>1126</v>
      </c>
      <c r="Z52" s="55" t="s">
        <v>775</v>
      </c>
      <c r="AA52" s="55" t="s">
        <v>776</v>
      </c>
      <c r="AB52" s="55">
        <v>15</v>
      </c>
      <c r="AC52" s="55">
        <v>3</v>
      </c>
      <c r="AD52" s="55" t="s">
        <v>1127</v>
      </c>
      <c r="AE52" s="55">
        <f t="shared" si="0"/>
        <v>100</v>
      </c>
      <c r="AF52" s="56" t="s">
        <v>386</v>
      </c>
    </row>
    <row r="53" spans="2:32" ht="30" customHeight="1">
      <c r="B53" s="21" t="s">
        <v>205</v>
      </c>
      <c r="C53" s="22" t="s">
        <v>206</v>
      </c>
      <c r="D53" s="22" t="s">
        <v>182</v>
      </c>
      <c r="E53" s="22" t="s">
        <v>32</v>
      </c>
      <c r="F53" s="30" t="s">
        <v>821</v>
      </c>
      <c r="G53" s="30" t="s">
        <v>823</v>
      </c>
      <c r="H53" s="30">
        <v>25</v>
      </c>
      <c r="I53" s="30">
        <v>3</v>
      </c>
      <c r="J53" s="30" t="s">
        <v>1127</v>
      </c>
      <c r="K53" s="54" t="s">
        <v>756</v>
      </c>
      <c r="L53" s="57" t="s">
        <v>757</v>
      </c>
      <c r="M53" s="57">
        <v>20</v>
      </c>
      <c r="N53" s="57">
        <v>3</v>
      </c>
      <c r="O53" s="57" t="s">
        <v>1127</v>
      </c>
      <c r="P53" s="57" t="s">
        <v>796</v>
      </c>
      <c r="Q53" s="57" t="s">
        <v>798</v>
      </c>
      <c r="R53" s="57">
        <v>20</v>
      </c>
      <c r="S53" s="57">
        <v>3</v>
      </c>
      <c r="T53" s="57" t="s">
        <v>1127</v>
      </c>
      <c r="U53" s="57" t="s">
        <v>775</v>
      </c>
      <c r="V53" s="57" t="s">
        <v>776</v>
      </c>
      <c r="W53" s="57">
        <v>20</v>
      </c>
      <c r="X53" s="57">
        <v>3</v>
      </c>
      <c r="Y53" s="57" t="s">
        <v>1127</v>
      </c>
      <c r="Z53" s="57" t="s">
        <v>619</v>
      </c>
      <c r="AA53" s="57" t="s">
        <v>622</v>
      </c>
      <c r="AB53" s="57">
        <v>15</v>
      </c>
      <c r="AC53" s="57">
        <v>3</v>
      </c>
      <c r="AD53" s="57" t="s">
        <v>1129</v>
      </c>
      <c r="AE53" s="57">
        <f t="shared" si="0"/>
        <v>100</v>
      </c>
      <c r="AF53" s="58" t="s">
        <v>386</v>
      </c>
    </row>
    <row r="54" spans="2:32" ht="30" customHeight="1">
      <c r="B54" s="21" t="s">
        <v>209</v>
      </c>
      <c r="C54" s="22" t="s">
        <v>210</v>
      </c>
      <c r="D54" s="22" t="s">
        <v>182</v>
      </c>
      <c r="E54" s="22" t="s">
        <v>32</v>
      </c>
      <c r="F54" s="30" t="s">
        <v>392</v>
      </c>
      <c r="G54" s="30" t="s">
        <v>395</v>
      </c>
      <c r="H54" s="30">
        <v>25</v>
      </c>
      <c r="I54" s="30">
        <v>3</v>
      </c>
      <c r="J54" s="30" t="s">
        <v>1125</v>
      </c>
      <c r="K54" s="54" t="s">
        <v>518</v>
      </c>
      <c r="L54" s="55" t="s">
        <v>521</v>
      </c>
      <c r="M54" s="55">
        <v>20</v>
      </c>
      <c r="N54" s="55">
        <v>3</v>
      </c>
      <c r="O54" s="55" t="s">
        <v>1126</v>
      </c>
      <c r="P54" s="55" t="s">
        <v>468</v>
      </c>
      <c r="Q54" s="55" t="s">
        <v>470</v>
      </c>
      <c r="R54" s="55">
        <v>20</v>
      </c>
      <c r="S54" s="55">
        <v>3</v>
      </c>
      <c r="T54" s="55" t="s">
        <v>1125</v>
      </c>
      <c r="U54" s="55" t="s">
        <v>598</v>
      </c>
      <c r="V54" s="55" t="s">
        <v>599</v>
      </c>
      <c r="W54" s="55">
        <v>20</v>
      </c>
      <c r="X54" s="55">
        <v>3</v>
      </c>
      <c r="Y54" s="55" t="s">
        <v>1126</v>
      </c>
      <c r="Z54" s="55" t="s">
        <v>775</v>
      </c>
      <c r="AA54" s="55" t="s">
        <v>776</v>
      </c>
      <c r="AB54" s="55">
        <v>15</v>
      </c>
      <c r="AC54" s="55">
        <v>3</v>
      </c>
      <c r="AD54" s="55" t="s">
        <v>1127</v>
      </c>
      <c r="AE54" s="55">
        <f t="shared" si="0"/>
        <v>100</v>
      </c>
      <c r="AF54" s="56" t="s">
        <v>386</v>
      </c>
    </row>
    <row r="55" spans="2:32" ht="30" customHeight="1">
      <c r="B55" s="21" t="s">
        <v>213</v>
      </c>
      <c r="C55" s="22" t="s">
        <v>98</v>
      </c>
      <c r="D55" s="22" t="s">
        <v>182</v>
      </c>
      <c r="E55" s="22" t="s">
        <v>32</v>
      </c>
      <c r="F55" s="30" t="s">
        <v>392</v>
      </c>
      <c r="G55" s="30" t="s">
        <v>395</v>
      </c>
      <c r="H55" s="30">
        <v>25</v>
      </c>
      <c r="I55" s="30">
        <v>3</v>
      </c>
      <c r="J55" s="30" t="s">
        <v>1125</v>
      </c>
      <c r="K55" s="54" t="s">
        <v>518</v>
      </c>
      <c r="L55" s="57" t="s">
        <v>521</v>
      </c>
      <c r="M55" s="57">
        <v>20</v>
      </c>
      <c r="N55" s="57">
        <v>3</v>
      </c>
      <c r="O55" s="57" t="s">
        <v>1126</v>
      </c>
      <c r="P55" s="57" t="s">
        <v>468</v>
      </c>
      <c r="Q55" s="57" t="s">
        <v>470</v>
      </c>
      <c r="R55" s="57">
        <v>20</v>
      </c>
      <c r="S55" s="57">
        <v>3</v>
      </c>
      <c r="T55" s="57" t="s">
        <v>1125</v>
      </c>
      <c r="U55" s="57" t="s">
        <v>598</v>
      </c>
      <c r="V55" s="57" t="s">
        <v>599</v>
      </c>
      <c r="W55" s="57">
        <v>20</v>
      </c>
      <c r="X55" s="57">
        <v>3</v>
      </c>
      <c r="Y55" s="57" t="s">
        <v>1126</v>
      </c>
      <c r="Z55" s="57" t="s">
        <v>775</v>
      </c>
      <c r="AA55" s="57" t="s">
        <v>776</v>
      </c>
      <c r="AB55" s="57">
        <v>15</v>
      </c>
      <c r="AC55" s="57">
        <v>3</v>
      </c>
      <c r="AD55" s="57" t="s">
        <v>1127</v>
      </c>
      <c r="AE55" s="57">
        <f t="shared" si="0"/>
        <v>100</v>
      </c>
      <c r="AF55" s="58" t="s">
        <v>386</v>
      </c>
    </row>
    <row r="56" spans="2:32" ht="30" customHeight="1">
      <c r="B56" s="21" t="s">
        <v>214</v>
      </c>
      <c r="C56" s="22" t="s">
        <v>215</v>
      </c>
      <c r="D56" s="22" t="s">
        <v>215</v>
      </c>
      <c r="E56" s="22" t="s">
        <v>29</v>
      </c>
      <c r="F56" s="30" t="s">
        <v>964</v>
      </c>
      <c r="G56" s="30" t="s">
        <v>965</v>
      </c>
      <c r="H56" s="30">
        <v>25</v>
      </c>
      <c r="I56" s="30">
        <v>4</v>
      </c>
      <c r="J56" s="30" t="s">
        <v>1130</v>
      </c>
      <c r="K56" s="54" t="s">
        <v>569</v>
      </c>
      <c r="L56" s="55" t="s">
        <v>571</v>
      </c>
      <c r="M56" s="55">
        <v>20</v>
      </c>
      <c r="N56" s="55">
        <v>4</v>
      </c>
      <c r="O56" s="55" t="s">
        <v>1126</v>
      </c>
      <c r="P56" s="55" t="s">
        <v>655</v>
      </c>
      <c r="Q56" s="55" t="s">
        <v>656</v>
      </c>
      <c r="R56" s="55">
        <v>20</v>
      </c>
      <c r="S56" s="55">
        <v>4</v>
      </c>
      <c r="T56" s="55" t="s">
        <v>1129</v>
      </c>
      <c r="U56" s="55" t="s">
        <v>759</v>
      </c>
      <c r="V56" s="55" t="s">
        <v>760</v>
      </c>
      <c r="W56" s="55">
        <v>20</v>
      </c>
      <c r="X56" s="55">
        <v>4</v>
      </c>
      <c r="Y56" s="55" t="s">
        <v>1127</v>
      </c>
      <c r="Z56" s="55" t="s">
        <v>594</v>
      </c>
      <c r="AA56" s="55" t="s">
        <v>596</v>
      </c>
      <c r="AB56" s="55">
        <v>15</v>
      </c>
      <c r="AC56" s="55">
        <v>4</v>
      </c>
      <c r="AD56" s="55" t="s">
        <v>1126</v>
      </c>
      <c r="AE56" s="55">
        <f t="shared" si="0"/>
        <v>100</v>
      </c>
      <c r="AF56" s="56" t="s">
        <v>386</v>
      </c>
    </row>
    <row r="57" spans="2:32" ht="30" customHeight="1">
      <c r="B57" s="21" t="s">
        <v>218</v>
      </c>
      <c r="C57" s="22" t="s">
        <v>219</v>
      </c>
      <c r="D57" s="22" t="s">
        <v>215</v>
      </c>
      <c r="E57" s="22" t="s">
        <v>29</v>
      </c>
      <c r="F57" s="30" t="s">
        <v>964</v>
      </c>
      <c r="G57" s="30" t="s">
        <v>965</v>
      </c>
      <c r="H57" s="30">
        <v>25</v>
      </c>
      <c r="I57" s="30">
        <v>3</v>
      </c>
      <c r="J57" s="30" t="s">
        <v>1130</v>
      </c>
      <c r="K57" s="54" t="s">
        <v>569</v>
      </c>
      <c r="L57" s="57" t="s">
        <v>571</v>
      </c>
      <c r="M57" s="57">
        <v>20</v>
      </c>
      <c r="N57" s="57">
        <v>3</v>
      </c>
      <c r="O57" s="57" t="s">
        <v>1126</v>
      </c>
      <c r="P57" s="57" t="s">
        <v>655</v>
      </c>
      <c r="Q57" s="57" t="s">
        <v>656</v>
      </c>
      <c r="R57" s="57">
        <v>20</v>
      </c>
      <c r="S57" s="57">
        <v>3</v>
      </c>
      <c r="T57" s="57" t="s">
        <v>1129</v>
      </c>
      <c r="U57" s="57" t="s">
        <v>759</v>
      </c>
      <c r="V57" s="57" t="s">
        <v>760</v>
      </c>
      <c r="W57" s="57">
        <v>20</v>
      </c>
      <c r="X57" s="57">
        <v>3</v>
      </c>
      <c r="Y57" s="57" t="s">
        <v>1127</v>
      </c>
      <c r="Z57" s="57" t="s">
        <v>594</v>
      </c>
      <c r="AA57" s="57" t="s">
        <v>596</v>
      </c>
      <c r="AB57" s="57">
        <v>15</v>
      </c>
      <c r="AC57" s="57">
        <v>3</v>
      </c>
      <c r="AD57" s="57" t="s">
        <v>1126</v>
      </c>
      <c r="AE57" s="57">
        <f t="shared" si="0"/>
        <v>100</v>
      </c>
      <c r="AF57" s="58" t="s">
        <v>386</v>
      </c>
    </row>
    <row r="58" spans="2:32" ht="30" customHeight="1">
      <c r="B58" s="21" t="s">
        <v>222</v>
      </c>
      <c r="C58" s="22" t="s">
        <v>223</v>
      </c>
      <c r="D58" s="22" t="s">
        <v>215</v>
      </c>
      <c r="E58" s="22" t="s">
        <v>29</v>
      </c>
      <c r="F58" s="30" t="s">
        <v>964</v>
      </c>
      <c r="G58" s="30" t="s">
        <v>965</v>
      </c>
      <c r="H58" s="30">
        <v>25</v>
      </c>
      <c r="I58" s="30">
        <v>3</v>
      </c>
      <c r="J58" s="30" t="s">
        <v>1130</v>
      </c>
      <c r="K58" s="54" t="s">
        <v>569</v>
      </c>
      <c r="L58" s="55" t="s">
        <v>571</v>
      </c>
      <c r="M58" s="55">
        <v>20</v>
      </c>
      <c r="N58" s="55">
        <v>3</v>
      </c>
      <c r="O58" s="55" t="s">
        <v>1126</v>
      </c>
      <c r="P58" s="55" t="s">
        <v>655</v>
      </c>
      <c r="Q58" s="55" t="s">
        <v>656</v>
      </c>
      <c r="R58" s="55">
        <v>20</v>
      </c>
      <c r="S58" s="55">
        <v>3</v>
      </c>
      <c r="T58" s="55" t="s">
        <v>1129</v>
      </c>
      <c r="U58" s="55" t="s">
        <v>759</v>
      </c>
      <c r="V58" s="55" t="s">
        <v>760</v>
      </c>
      <c r="W58" s="55">
        <v>20</v>
      </c>
      <c r="X58" s="55">
        <v>3</v>
      </c>
      <c r="Y58" s="55" t="s">
        <v>1127</v>
      </c>
      <c r="Z58" s="55" t="s">
        <v>594</v>
      </c>
      <c r="AA58" s="55" t="s">
        <v>596</v>
      </c>
      <c r="AB58" s="55">
        <v>15</v>
      </c>
      <c r="AC58" s="55">
        <v>3</v>
      </c>
      <c r="AD58" s="55" t="s">
        <v>1126</v>
      </c>
      <c r="AE58" s="55">
        <f t="shared" si="0"/>
        <v>100</v>
      </c>
      <c r="AF58" s="56" t="s">
        <v>386</v>
      </c>
    </row>
    <row r="59" spans="2:32" ht="30" customHeight="1">
      <c r="B59" s="21" t="s">
        <v>226</v>
      </c>
      <c r="C59" s="22" t="s">
        <v>227</v>
      </c>
      <c r="D59" s="22" t="s">
        <v>215</v>
      </c>
      <c r="E59" s="22" t="s">
        <v>29</v>
      </c>
      <c r="F59" s="30" t="s">
        <v>964</v>
      </c>
      <c r="G59" s="30" t="s">
        <v>965</v>
      </c>
      <c r="H59" s="30">
        <v>25</v>
      </c>
      <c r="I59" s="30">
        <v>3</v>
      </c>
      <c r="J59" s="30" t="s">
        <v>1130</v>
      </c>
      <c r="K59" s="54" t="s">
        <v>569</v>
      </c>
      <c r="L59" s="57" t="s">
        <v>571</v>
      </c>
      <c r="M59" s="57">
        <v>20</v>
      </c>
      <c r="N59" s="57">
        <v>3</v>
      </c>
      <c r="O59" s="57" t="s">
        <v>1126</v>
      </c>
      <c r="P59" s="57" t="s">
        <v>655</v>
      </c>
      <c r="Q59" s="57" t="s">
        <v>656</v>
      </c>
      <c r="R59" s="57">
        <v>20</v>
      </c>
      <c r="S59" s="57">
        <v>3</v>
      </c>
      <c r="T59" s="57" t="s">
        <v>1129</v>
      </c>
      <c r="U59" s="57" t="s">
        <v>759</v>
      </c>
      <c r="V59" s="57" t="s">
        <v>760</v>
      </c>
      <c r="W59" s="57">
        <v>20</v>
      </c>
      <c r="X59" s="57">
        <v>3</v>
      </c>
      <c r="Y59" s="57" t="s">
        <v>1127</v>
      </c>
      <c r="Z59" s="57" t="s">
        <v>594</v>
      </c>
      <c r="AA59" s="57" t="s">
        <v>596</v>
      </c>
      <c r="AB59" s="57">
        <v>15</v>
      </c>
      <c r="AC59" s="57">
        <v>3</v>
      </c>
      <c r="AD59" s="57" t="s">
        <v>1126</v>
      </c>
      <c r="AE59" s="57">
        <f t="shared" si="0"/>
        <v>100</v>
      </c>
      <c r="AF59" s="58" t="s">
        <v>386</v>
      </c>
    </row>
    <row r="60" spans="2:32" ht="30" customHeight="1">
      <c r="B60" s="21" t="s">
        <v>230</v>
      </c>
      <c r="C60" s="22" t="s">
        <v>231</v>
      </c>
      <c r="D60" s="22" t="s">
        <v>215</v>
      </c>
      <c r="E60" s="22" t="s">
        <v>29</v>
      </c>
      <c r="F60" s="30" t="s">
        <v>973</v>
      </c>
      <c r="G60" s="30" t="s">
        <v>975</v>
      </c>
      <c r="H60" s="30">
        <v>25</v>
      </c>
      <c r="I60" s="30">
        <v>3</v>
      </c>
      <c r="J60" s="30" t="s">
        <v>1129</v>
      </c>
      <c r="K60" s="54" t="s">
        <v>980</v>
      </c>
      <c r="L60" s="55" t="s">
        <v>981</v>
      </c>
      <c r="M60" s="55">
        <v>20</v>
      </c>
      <c r="N60" s="55">
        <v>3</v>
      </c>
      <c r="O60" s="55" t="s">
        <v>1129</v>
      </c>
      <c r="P60" s="55" t="s">
        <v>986</v>
      </c>
      <c r="Q60" s="55" t="s">
        <v>987</v>
      </c>
      <c r="R60" s="55">
        <v>20</v>
      </c>
      <c r="S60" s="55">
        <v>3</v>
      </c>
      <c r="T60" s="55" t="s">
        <v>1129</v>
      </c>
      <c r="U60" s="55" t="s">
        <v>497</v>
      </c>
      <c r="V60" s="55" t="s">
        <v>498</v>
      </c>
      <c r="W60" s="55">
        <v>20</v>
      </c>
      <c r="X60" s="55">
        <v>3</v>
      </c>
      <c r="Y60" s="55" t="s">
        <v>1125</v>
      </c>
      <c r="Z60" s="55" t="s">
        <v>544</v>
      </c>
      <c r="AA60" s="55" t="s">
        <v>546</v>
      </c>
      <c r="AB60" s="55">
        <v>15</v>
      </c>
      <c r="AC60" s="55">
        <v>3</v>
      </c>
      <c r="AD60" s="55" t="s">
        <v>1126</v>
      </c>
      <c r="AE60" s="55">
        <f t="shared" si="0"/>
        <v>100</v>
      </c>
      <c r="AF60" s="56" t="s">
        <v>386</v>
      </c>
    </row>
    <row r="61" spans="2:32" ht="30" customHeight="1">
      <c r="B61" s="21" t="s">
        <v>234</v>
      </c>
      <c r="C61" s="22" t="s">
        <v>235</v>
      </c>
      <c r="D61" s="22" t="s">
        <v>215</v>
      </c>
      <c r="E61" s="22" t="s">
        <v>29</v>
      </c>
      <c r="F61" s="30" t="s">
        <v>964</v>
      </c>
      <c r="G61" s="30" t="s">
        <v>965</v>
      </c>
      <c r="H61" s="30">
        <v>25</v>
      </c>
      <c r="I61" s="30">
        <v>3</v>
      </c>
      <c r="J61" s="30" t="s">
        <v>1130</v>
      </c>
      <c r="K61" s="54" t="s">
        <v>569</v>
      </c>
      <c r="L61" s="57" t="s">
        <v>571</v>
      </c>
      <c r="M61" s="57">
        <v>20</v>
      </c>
      <c r="N61" s="57">
        <v>3</v>
      </c>
      <c r="O61" s="57" t="s">
        <v>1126</v>
      </c>
      <c r="P61" s="57" t="s">
        <v>655</v>
      </c>
      <c r="Q61" s="57" t="s">
        <v>656</v>
      </c>
      <c r="R61" s="57">
        <v>20</v>
      </c>
      <c r="S61" s="57">
        <v>3</v>
      </c>
      <c r="T61" s="57" t="s">
        <v>1129</v>
      </c>
      <c r="U61" s="57" t="s">
        <v>759</v>
      </c>
      <c r="V61" s="57" t="s">
        <v>760</v>
      </c>
      <c r="W61" s="57">
        <v>20</v>
      </c>
      <c r="X61" s="57">
        <v>3</v>
      </c>
      <c r="Y61" s="57" t="s">
        <v>1127</v>
      </c>
      <c r="Z61" s="57" t="s">
        <v>594</v>
      </c>
      <c r="AA61" s="57" t="s">
        <v>596</v>
      </c>
      <c r="AB61" s="57">
        <v>15</v>
      </c>
      <c r="AC61" s="57">
        <v>3</v>
      </c>
      <c r="AD61" s="57" t="s">
        <v>1126</v>
      </c>
      <c r="AE61" s="57">
        <f t="shared" si="0"/>
        <v>100</v>
      </c>
      <c r="AF61" s="58" t="s">
        <v>386</v>
      </c>
    </row>
    <row r="62" spans="2:32" ht="30" customHeight="1">
      <c r="B62" s="21" t="s">
        <v>238</v>
      </c>
      <c r="C62" s="22" t="s">
        <v>239</v>
      </c>
      <c r="D62" s="22" t="s">
        <v>215</v>
      </c>
      <c r="E62" s="22" t="s">
        <v>29</v>
      </c>
      <c r="F62" s="30" t="s">
        <v>964</v>
      </c>
      <c r="G62" s="30" t="s">
        <v>965</v>
      </c>
      <c r="H62" s="30">
        <v>25</v>
      </c>
      <c r="I62" s="30">
        <v>3</v>
      </c>
      <c r="J62" s="30" t="s">
        <v>1130</v>
      </c>
      <c r="K62" s="54" t="s">
        <v>569</v>
      </c>
      <c r="L62" s="55" t="s">
        <v>571</v>
      </c>
      <c r="M62" s="55">
        <v>20</v>
      </c>
      <c r="N62" s="55">
        <v>3</v>
      </c>
      <c r="O62" s="55" t="s">
        <v>1126</v>
      </c>
      <c r="P62" s="55" t="s">
        <v>655</v>
      </c>
      <c r="Q62" s="55" t="s">
        <v>656</v>
      </c>
      <c r="R62" s="55">
        <v>20</v>
      </c>
      <c r="S62" s="55">
        <v>3</v>
      </c>
      <c r="T62" s="55" t="s">
        <v>1129</v>
      </c>
      <c r="U62" s="55" t="s">
        <v>759</v>
      </c>
      <c r="V62" s="55" t="s">
        <v>760</v>
      </c>
      <c r="W62" s="55">
        <v>20</v>
      </c>
      <c r="X62" s="55">
        <v>3</v>
      </c>
      <c r="Y62" s="55" t="s">
        <v>1127</v>
      </c>
      <c r="Z62" s="55" t="s">
        <v>594</v>
      </c>
      <c r="AA62" s="55" t="s">
        <v>596</v>
      </c>
      <c r="AB62" s="55">
        <v>15</v>
      </c>
      <c r="AC62" s="55">
        <v>3</v>
      </c>
      <c r="AD62" s="55" t="s">
        <v>1126</v>
      </c>
      <c r="AE62" s="55">
        <f t="shared" si="0"/>
        <v>100</v>
      </c>
      <c r="AF62" s="56" t="s">
        <v>386</v>
      </c>
    </row>
    <row r="63" spans="2:32" ht="30" customHeight="1">
      <c r="B63" s="21" t="s">
        <v>242</v>
      </c>
      <c r="C63" s="22" t="s">
        <v>243</v>
      </c>
      <c r="D63" s="22" t="s">
        <v>215</v>
      </c>
      <c r="E63" s="22" t="s">
        <v>29</v>
      </c>
      <c r="F63" s="30" t="s">
        <v>964</v>
      </c>
      <c r="G63" s="30" t="s">
        <v>965</v>
      </c>
      <c r="H63" s="30">
        <v>25</v>
      </c>
      <c r="I63" s="30">
        <v>3</v>
      </c>
      <c r="J63" s="30" t="s">
        <v>1130</v>
      </c>
      <c r="K63" s="54" t="s">
        <v>569</v>
      </c>
      <c r="L63" s="57" t="s">
        <v>571</v>
      </c>
      <c r="M63" s="57">
        <v>20</v>
      </c>
      <c r="N63" s="57">
        <v>3</v>
      </c>
      <c r="O63" s="57" t="s">
        <v>1126</v>
      </c>
      <c r="P63" s="57" t="s">
        <v>655</v>
      </c>
      <c r="Q63" s="57" t="s">
        <v>656</v>
      </c>
      <c r="R63" s="57">
        <v>20</v>
      </c>
      <c r="S63" s="57">
        <v>3</v>
      </c>
      <c r="T63" s="57" t="s">
        <v>1129</v>
      </c>
      <c r="U63" s="57" t="s">
        <v>759</v>
      </c>
      <c r="V63" s="57" t="s">
        <v>760</v>
      </c>
      <c r="W63" s="57">
        <v>20</v>
      </c>
      <c r="X63" s="57">
        <v>3</v>
      </c>
      <c r="Y63" s="57" t="s">
        <v>1127</v>
      </c>
      <c r="Z63" s="57" t="s">
        <v>594</v>
      </c>
      <c r="AA63" s="57" t="s">
        <v>596</v>
      </c>
      <c r="AB63" s="57">
        <v>15</v>
      </c>
      <c r="AC63" s="57">
        <v>3</v>
      </c>
      <c r="AD63" s="57" t="s">
        <v>1126</v>
      </c>
      <c r="AE63" s="57">
        <f t="shared" si="0"/>
        <v>100</v>
      </c>
      <c r="AF63" s="58" t="s">
        <v>386</v>
      </c>
    </row>
    <row r="64" spans="2:32" ht="30" customHeight="1">
      <c r="B64" s="21" t="s">
        <v>246</v>
      </c>
      <c r="C64" s="22" t="s">
        <v>34</v>
      </c>
      <c r="D64" s="22" t="s">
        <v>215</v>
      </c>
      <c r="E64" s="22" t="s">
        <v>29</v>
      </c>
      <c r="F64" s="30" t="s">
        <v>604</v>
      </c>
      <c r="G64" s="30" t="s">
        <v>605</v>
      </c>
      <c r="H64" s="30">
        <v>25</v>
      </c>
      <c r="I64" s="30">
        <v>3</v>
      </c>
      <c r="J64" s="30" t="s">
        <v>1126</v>
      </c>
      <c r="K64" s="54" t="s">
        <v>613</v>
      </c>
      <c r="L64" s="55" t="s">
        <v>614</v>
      </c>
      <c r="M64" s="55">
        <v>20</v>
      </c>
      <c r="N64" s="55">
        <v>3</v>
      </c>
      <c r="O64" s="55" t="s">
        <v>1126</v>
      </c>
      <c r="P64" s="55" t="s">
        <v>616</v>
      </c>
      <c r="Q64" s="55" t="s">
        <v>617</v>
      </c>
      <c r="R64" s="55">
        <v>20</v>
      </c>
      <c r="S64" s="55">
        <v>3</v>
      </c>
      <c r="T64" s="55" t="s">
        <v>1126</v>
      </c>
      <c r="U64" s="55" t="s">
        <v>916</v>
      </c>
      <c r="V64" s="55" t="s">
        <v>917</v>
      </c>
      <c r="W64" s="55">
        <v>20</v>
      </c>
      <c r="X64" s="55">
        <v>3</v>
      </c>
      <c r="Y64" s="55" t="s">
        <v>1128</v>
      </c>
      <c r="Z64" s="55" t="s">
        <v>484</v>
      </c>
      <c r="AA64" s="55" t="s">
        <v>485</v>
      </c>
      <c r="AB64" s="55">
        <v>15</v>
      </c>
      <c r="AC64" s="55">
        <v>3</v>
      </c>
      <c r="AD64" s="55" t="s">
        <v>1125</v>
      </c>
      <c r="AE64" s="55">
        <f t="shared" si="0"/>
        <v>100</v>
      </c>
      <c r="AF64" s="56" t="s">
        <v>386</v>
      </c>
    </row>
    <row r="65" spans="2:32" ht="30" customHeight="1">
      <c r="B65" s="21" t="s">
        <v>248</v>
      </c>
      <c r="C65" s="22" t="s">
        <v>249</v>
      </c>
      <c r="D65" s="22" t="s">
        <v>249</v>
      </c>
      <c r="E65" s="22" t="s">
        <v>14</v>
      </c>
      <c r="F65" s="30" t="s">
        <v>598</v>
      </c>
      <c r="G65" s="30" t="s">
        <v>599</v>
      </c>
      <c r="H65" s="30">
        <v>25</v>
      </c>
      <c r="I65" s="30">
        <v>4</v>
      </c>
      <c r="J65" s="30" t="s">
        <v>1126</v>
      </c>
      <c r="K65" s="54" t="s">
        <v>468</v>
      </c>
      <c r="L65" s="57" t="s">
        <v>470</v>
      </c>
      <c r="M65" s="57">
        <v>20</v>
      </c>
      <c r="N65" s="57">
        <v>4</v>
      </c>
      <c r="O65" s="57" t="s">
        <v>1125</v>
      </c>
      <c r="P65" s="57" t="s">
        <v>664</v>
      </c>
      <c r="Q65" s="57" t="s">
        <v>665</v>
      </c>
      <c r="R65" s="57">
        <v>20</v>
      </c>
      <c r="S65" s="57">
        <v>4</v>
      </c>
      <c r="T65" s="57" t="s">
        <v>1129</v>
      </c>
      <c r="U65" s="57" t="s">
        <v>916</v>
      </c>
      <c r="V65" s="57" t="s">
        <v>917</v>
      </c>
      <c r="W65" s="57">
        <v>20</v>
      </c>
      <c r="X65" s="57">
        <v>4</v>
      </c>
      <c r="Y65" s="57" t="s">
        <v>1128</v>
      </c>
      <c r="Z65" s="57" t="s">
        <v>935</v>
      </c>
      <c r="AA65" s="57" t="s">
        <v>936</v>
      </c>
      <c r="AB65" s="57">
        <v>15</v>
      </c>
      <c r="AC65" s="57">
        <v>4</v>
      </c>
      <c r="AD65" s="57" t="s">
        <v>1128</v>
      </c>
      <c r="AE65" s="57">
        <f t="shared" si="0"/>
        <v>100</v>
      </c>
      <c r="AF65" s="58" t="s">
        <v>386</v>
      </c>
    </row>
    <row r="66" spans="2:32" ht="30" customHeight="1">
      <c r="B66" s="21" t="s">
        <v>251</v>
      </c>
      <c r="C66" s="22" t="s">
        <v>252</v>
      </c>
      <c r="D66" s="22" t="s">
        <v>252</v>
      </c>
      <c r="E66" s="22" t="s">
        <v>14</v>
      </c>
      <c r="F66" s="30" t="s">
        <v>947</v>
      </c>
      <c r="G66" s="30" t="s">
        <v>950</v>
      </c>
      <c r="H66" s="30">
        <v>25</v>
      </c>
      <c r="I66" s="30">
        <v>4</v>
      </c>
      <c r="J66" s="30" t="s">
        <v>1130</v>
      </c>
      <c r="K66" s="54" t="s">
        <v>952</v>
      </c>
      <c r="L66" s="55" t="s">
        <v>953</v>
      </c>
      <c r="M66" s="55">
        <v>20</v>
      </c>
      <c r="N66" s="55">
        <v>4</v>
      </c>
      <c r="O66" s="55" t="s">
        <v>1130</v>
      </c>
      <c r="P66" s="55" t="s">
        <v>967</v>
      </c>
      <c r="Q66" s="55" t="s">
        <v>968</v>
      </c>
      <c r="R66" s="55">
        <v>20</v>
      </c>
      <c r="S66" s="55">
        <v>4</v>
      </c>
      <c r="T66" s="55" t="s">
        <v>1130</v>
      </c>
      <c r="U66" s="55" t="s">
        <v>964</v>
      </c>
      <c r="V66" s="55" t="s">
        <v>965</v>
      </c>
      <c r="W66" s="55">
        <v>20</v>
      </c>
      <c r="X66" s="55">
        <v>4</v>
      </c>
      <c r="Y66" s="55" t="s">
        <v>1130</v>
      </c>
      <c r="Z66" s="55" t="s">
        <v>929</v>
      </c>
      <c r="AA66" s="55" t="s">
        <v>930</v>
      </c>
      <c r="AB66" s="55">
        <v>15</v>
      </c>
      <c r="AC66" s="55">
        <v>4</v>
      </c>
      <c r="AD66" s="55" t="s">
        <v>1128</v>
      </c>
      <c r="AE66" s="55">
        <f t="shared" si="0"/>
        <v>100</v>
      </c>
      <c r="AF66" s="56" t="s">
        <v>386</v>
      </c>
    </row>
    <row r="67" spans="2:32" ht="30" customHeight="1">
      <c r="B67" s="21" t="s">
        <v>254</v>
      </c>
      <c r="C67" s="22" t="s">
        <v>255</v>
      </c>
      <c r="D67" s="22" t="s">
        <v>252</v>
      </c>
      <c r="E67" s="22" t="s">
        <v>14</v>
      </c>
      <c r="F67" s="30" t="s">
        <v>947</v>
      </c>
      <c r="G67" s="30" t="s">
        <v>950</v>
      </c>
      <c r="H67" s="30">
        <v>25</v>
      </c>
      <c r="I67" s="30">
        <v>3</v>
      </c>
      <c r="J67" s="30" t="s">
        <v>1130</v>
      </c>
      <c r="K67" s="59" t="s">
        <v>952</v>
      </c>
      <c r="L67" s="57" t="s">
        <v>953</v>
      </c>
      <c r="M67" s="57">
        <v>20</v>
      </c>
      <c r="N67" s="57">
        <v>3</v>
      </c>
      <c r="O67" s="57" t="s">
        <v>1130</v>
      </c>
      <c r="P67" s="57" t="s">
        <v>967</v>
      </c>
      <c r="Q67" s="57" t="s">
        <v>968</v>
      </c>
      <c r="R67" s="57">
        <v>20</v>
      </c>
      <c r="S67" s="57">
        <v>3</v>
      </c>
      <c r="T67" s="57" t="s">
        <v>1130</v>
      </c>
      <c r="U67" s="57" t="s">
        <v>964</v>
      </c>
      <c r="V67" s="57" t="s">
        <v>965</v>
      </c>
      <c r="W67" s="57">
        <v>20</v>
      </c>
      <c r="X67" s="57">
        <v>3</v>
      </c>
      <c r="Y67" s="57" t="s">
        <v>1130</v>
      </c>
      <c r="Z67" s="57" t="s">
        <v>929</v>
      </c>
      <c r="AA67" s="57" t="s">
        <v>930</v>
      </c>
      <c r="AB67" s="57">
        <v>15</v>
      </c>
      <c r="AC67" s="57">
        <v>3</v>
      </c>
      <c r="AD67" s="57" t="s">
        <v>1128</v>
      </c>
      <c r="AE67" s="57">
        <f t="shared" ref="AE67:AE103" si="1">SUM(H67,M67,R67,W67,AB67)</f>
        <v>100</v>
      </c>
      <c r="AF67" s="58" t="s">
        <v>386</v>
      </c>
    </row>
    <row r="68" spans="2:32" ht="30" customHeight="1">
      <c r="B68" s="21" t="s">
        <v>258</v>
      </c>
      <c r="C68" s="22" t="s">
        <v>259</v>
      </c>
      <c r="D68" s="22" t="s">
        <v>252</v>
      </c>
      <c r="E68" s="22" t="s">
        <v>14</v>
      </c>
      <c r="F68" s="30" t="s">
        <v>947</v>
      </c>
      <c r="G68" s="30" t="s">
        <v>950</v>
      </c>
      <c r="H68" s="30">
        <v>25</v>
      </c>
      <c r="I68" s="30">
        <v>3</v>
      </c>
      <c r="J68" s="30" t="s">
        <v>1130</v>
      </c>
      <c r="K68" s="54" t="s">
        <v>952</v>
      </c>
      <c r="L68" s="55" t="s">
        <v>953</v>
      </c>
      <c r="M68" s="55">
        <v>20</v>
      </c>
      <c r="N68" s="55">
        <v>3</v>
      </c>
      <c r="O68" s="55" t="s">
        <v>1130</v>
      </c>
      <c r="P68" s="55" t="s">
        <v>967</v>
      </c>
      <c r="Q68" s="55" t="s">
        <v>968</v>
      </c>
      <c r="R68" s="55">
        <v>20</v>
      </c>
      <c r="S68" s="55">
        <v>3</v>
      </c>
      <c r="T68" s="55" t="s">
        <v>1130</v>
      </c>
      <c r="U68" s="55" t="s">
        <v>964</v>
      </c>
      <c r="V68" s="55" t="s">
        <v>965</v>
      </c>
      <c r="W68" s="55">
        <v>20</v>
      </c>
      <c r="X68" s="55">
        <v>3</v>
      </c>
      <c r="Y68" s="55" t="s">
        <v>1130</v>
      </c>
      <c r="Z68" s="55" t="s">
        <v>929</v>
      </c>
      <c r="AA68" s="55" t="s">
        <v>930</v>
      </c>
      <c r="AB68" s="55">
        <v>15</v>
      </c>
      <c r="AC68" s="55">
        <v>3</v>
      </c>
      <c r="AD68" s="55" t="s">
        <v>1128</v>
      </c>
      <c r="AE68" s="55">
        <f t="shared" si="1"/>
        <v>100</v>
      </c>
      <c r="AF68" s="56" t="s">
        <v>386</v>
      </c>
    </row>
    <row r="69" spans="2:32" ht="30" customHeight="1">
      <c r="B69" s="21" t="s">
        <v>262</v>
      </c>
      <c r="C69" s="22" t="s">
        <v>263</v>
      </c>
      <c r="D69" s="22" t="s">
        <v>252</v>
      </c>
      <c r="E69" s="22" t="s">
        <v>14</v>
      </c>
      <c r="F69" s="30" t="s">
        <v>947</v>
      </c>
      <c r="G69" s="30" t="s">
        <v>950</v>
      </c>
      <c r="H69" s="30">
        <v>25</v>
      </c>
      <c r="I69" s="30">
        <v>3</v>
      </c>
      <c r="J69" s="30" t="s">
        <v>1130</v>
      </c>
      <c r="K69" s="54" t="s">
        <v>952</v>
      </c>
      <c r="L69" s="57" t="s">
        <v>953</v>
      </c>
      <c r="M69" s="57">
        <v>20</v>
      </c>
      <c r="N69" s="57">
        <v>3</v>
      </c>
      <c r="O69" s="57" t="s">
        <v>1130</v>
      </c>
      <c r="P69" s="57" t="s">
        <v>967</v>
      </c>
      <c r="Q69" s="57" t="s">
        <v>968</v>
      </c>
      <c r="R69" s="57">
        <v>20</v>
      </c>
      <c r="S69" s="57">
        <v>3</v>
      </c>
      <c r="T69" s="57" t="s">
        <v>1130</v>
      </c>
      <c r="U69" s="57" t="s">
        <v>964</v>
      </c>
      <c r="V69" s="57" t="s">
        <v>965</v>
      </c>
      <c r="W69" s="57">
        <v>20</v>
      </c>
      <c r="X69" s="57">
        <v>3</v>
      </c>
      <c r="Y69" s="57" t="s">
        <v>1130</v>
      </c>
      <c r="Z69" s="57" t="s">
        <v>929</v>
      </c>
      <c r="AA69" s="57" t="s">
        <v>930</v>
      </c>
      <c r="AB69" s="57">
        <v>15</v>
      </c>
      <c r="AC69" s="57">
        <v>3</v>
      </c>
      <c r="AD69" s="57" t="s">
        <v>1128</v>
      </c>
      <c r="AE69" s="57">
        <f t="shared" si="1"/>
        <v>100</v>
      </c>
      <c r="AF69" s="58" t="s">
        <v>386</v>
      </c>
    </row>
    <row r="70" spans="2:32" ht="30" customHeight="1">
      <c r="B70" s="21" t="s">
        <v>266</v>
      </c>
      <c r="C70" s="22" t="s">
        <v>267</v>
      </c>
      <c r="D70" s="22" t="s">
        <v>252</v>
      </c>
      <c r="E70" s="22" t="s">
        <v>14</v>
      </c>
      <c r="F70" s="30" t="s">
        <v>947</v>
      </c>
      <c r="G70" s="30" t="s">
        <v>950</v>
      </c>
      <c r="H70" s="30">
        <v>25</v>
      </c>
      <c r="I70" s="30">
        <v>3</v>
      </c>
      <c r="J70" s="30" t="s">
        <v>1130</v>
      </c>
      <c r="K70" s="54" t="s">
        <v>952</v>
      </c>
      <c r="L70" s="55" t="s">
        <v>953</v>
      </c>
      <c r="M70" s="55">
        <v>20</v>
      </c>
      <c r="N70" s="55">
        <v>3</v>
      </c>
      <c r="O70" s="55" t="s">
        <v>1130</v>
      </c>
      <c r="P70" s="55" t="s">
        <v>967</v>
      </c>
      <c r="Q70" s="55" t="s">
        <v>968</v>
      </c>
      <c r="R70" s="55">
        <v>20</v>
      </c>
      <c r="S70" s="55">
        <v>3</v>
      </c>
      <c r="T70" s="55" t="s">
        <v>1130</v>
      </c>
      <c r="U70" s="55" t="s">
        <v>964</v>
      </c>
      <c r="V70" s="55" t="s">
        <v>965</v>
      </c>
      <c r="W70" s="55">
        <v>20</v>
      </c>
      <c r="X70" s="55">
        <v>3</v>
      </c>
      <c r="Y70" s="55" t="s">
        <v>1130</v>
      </c>
      <c r="Z70" s="55" t="s">
        <v>929</v>
      </c>
      <c r="AA70" s="55" t="s">
        <v>930</v>
      </c>
      <c r="AB70" s="55">
        <v>15</v>
      </c>
      <c r="AC70" s="55">
        <v>3</v>
      </c>
      <c r="AD70" s="55" t="s">
        <v>1128</v>
      </c>
      <c r="AE70" s="55">
        <f t="shared" si="1"/>
        <v>100</v>
      </c>
      <c r="AF70" s="56" t="s">
        <v>386</v>
      </c>
    </row>
    <row r="71" spans="2:32" ht="30" customHeight="1">
      <c r="B71" s="21" t="s">
        <v>270</v>
      </c>
      <c r="C71" s="22" t="s">
        <v>271</v>
      </c>
      <c r="D71" s="22" t="s">
        <v>252</v>
      </c>
      <c r="E71" s="22" t="s">
        <v>14</v>
      </c>
      <c r="F71" s="30" t="s">
        <v>947</v>
      </c>
      <c r="G71" s="30" t="s">
        <v>950</v>
      </c>
      <c r="H71" s="30">
        <v>25</v>
      </c>
      <c r="I71" s="30">
        <v>3</v>
      </c>
      <c r="J71" s="30" t="s">
        <v>1130</v>
      </c>
      <c r="K71" s="54" t="s">
        <v>952</v>
      </c>
      <c r="L71" s="57" t="s">
        <v>953</v>
      </c>
      <c r="M71" s="57">
        <v>20</v>
      </c>
      <c r="N71" s="57">
        <v>3</v>
      </c>
      <c r="O71" s="57" t="s">
        <v>1130</v>
      </c>
      <c r="P71" s="57" t="s">
        <v>967</v>
      </c>
      <c r="Q71" s="57" t="s">
        <v>968</v>
      </c>
      <c r="R71" s="57">
        <v>20</v>
      </c>
      <c r="S71" s="57">
        <v>3</v>
      </c>
      <c r="T71" s="57" t="s">
        <v>1130</v>
      </c>
      <c r="U71" s="57" t="s">
        <v>964</v>
      </c>
      <c r="V71" s="57" t="s">
        <v>965</v>
      </c>
      <c r="W71" s="57">
        <v>20</v>
      </c>
      <c r="X71" s="57">
        <v>3</v>
      </c>
      <c r="Y71" s="57" t="s">
        <v>1130</v>
      </c>
      <c r="Z71" s="57" t="s">
        <v>929</v>
      </c>
      <c r="AA71" s="57" t="s">
        <v>930</v>
      </c>
      <c r="AB71" s="57">
        <v>15</v>
      </c>
      <c r="AC71" s="57">
        <v>3</v>
      </c>
      <c r="AD71" s="57" t="s">
        <v>1128</v>
      </c>
      <c r="AE71" s="57">
        <f t="shared" si="1"/>
        <v>100</v>
      </c>
      <c r="AF71" s="58" t="s">
        <v>386</v>
      </c>
    </row>
    <row r="72" spans="2:32" ht="30" customHeight="1">
      <c r="B72" s="21" t="s">
        <v>274</v>
      </c>
      <c r="C72" s="22" t="s">
        <v>275</v>
      </c>
      <c r="D72" s="22" t="s">
        <v>252</v>
      </c>
      <c r="E72" s="22" t="s">
        <v>14</v>
      </c>
      <c r="F72" s="30" t="s">
        <v>1023</v>
      </c>
      <c r="G72" s="30" t="s">
        <v>1025</v>
      </c>
      <c r="H72" s="30">
        <v>25</v>
      </c>
      <c r="I72" s="30">
        <v>3</v>
      </c>
      <c r="J72" s="30" t="s">
        <v>1130</v>
      </c>
      <c r="K72" s="54" t="s">
        <v>1027</v>
      </c>
      <c r="L72" s="55" t="s">
        <v>1028</v>
      </c>
      <c r="M72" s="55">
        <v>20</v>
      </c>
      <c r="N72" s="55">
        <v>3</v>
      </c>
      <c r="O72" s="55" t="s">
        <v>1130</v>
      </c>
      <c r="P72" s="55" t="s">
        <v>983</v>
      </c>
      <c r="Q72" s="55" t="s">
        <v>984</v>
      </c>
      <c r="R72" s="55">
        <v>20</v>
      </c>
      <c r="S72" s="55">
        <v>3</v>
      </c>
      <c r="T72" s="55" t="s">
        <v>1129</v>
      </c>
      <c r="U72" s="55" t="s">
        <v>745</v>
      </c>
      <c r="V72" s="55" t="s">
        <v>748</v>
      </c>
      <c r="W72" s="55">
        <v>20</v>
      </c>
      <c r="X72" s="55">
        <v>3</v>
      </c>
      <c r="Y72" s="55" t="s">
        <v>1127</v>
      </c>
      <c r="Z72" s="55" t="s">
        <v>699</v>
      </c>
      <c r="AA72" s="55" t="s">
        <v>700</v>
      </c>
      <c r="AB72" s="55">
        <v>15</v>
      </c>
      <c r="AC72" s="55">
        <v>3</v>
      </c>
      <c r="AD72" s="55" t="s">
        <v>1129</v>
      </c>
      <c r="AE72" s="55">
        <f t="shared" si="1"/>
        <v>100</v>
      </c>
      <c r="AF72" s="56" t="s">
        <v>386</v>
      </c>
    </row>
    <row r="73" spans="2:32" ht="30" customHeight="1">
      <c r="B73" s="21" t="s">
        <v>278</v>
      </c>
      <c r="C73" s="22" t="s">
        <v>279</v>
      </c>
      <c r="D73" s="22" t="s">
        <v>279</v>
      </c>
      <c r="E73" s="22" t="s">
        <v>14</v>
      </c>
      <c r="F73" s="30" t="s">
        <v>699</v>
      </c>
      <c r="G73" s="30" t="s">
        <v>700</v>
      </c>
      <c r="H73" s="30">
        <v>25</v>
      </c>
      <c r="I73" s="30">
        <v>4</v>
      </c>
      <c r="J73" s="30" t="s">
        <v>1129</v>
      </c>
      <c r="K73" s="54" t="s">
        <v>702</v>
      </c>
      <c r="L73" s="57" t="s">
        <v>703</v>
      </c>
      <c r="M73" s="57">
        <v>20</v>
      </c>
      <c r="N73" s="57">
        <v>4</v>
      </c>
      <c r="O73" s="57" t="s">
        <v>1129</v>
      </c>
      <c r="P73" s="57" t="s">
        <v>717</v>
      </c>
      <c r="Q73" s="57" t="s">
        <v>718</v>
      </c>
      <c r="R73" s="57">
        <v>20</v>
      </c>
      <c r="S73" s="57">
        <v>4</v>
      </c>
      <c r="T73" s="57" t="s">
        <v>1129</v>
      </c>
      <c r="U73" s="57" t="s">
        <v>929</v>
      </c>
      <c r="V73" s="57" t="s">
        <v>930</v>
      </c>
      <c r="W73" s="57">
        <v>20</v>
      </c>
      <c r="X73" s="57">
        <v>4</v>
      </c>
      <c r="Y73" s="57" t="s">
        <v>1128</v>
      </c>
      <c r="Z73" s="57" t="s">
        <v>1005</v>
      </c>
      <c r="AA73" s="57" t="s">
        <v>1006</v>
      </c>
      <c r="AB73" s="57">
        <v>15</v>
      </c>
      <c r="AC73" s="57">
        <v>4</v>
      </c>
      <c r="AD73" s="57" t="s">
        <v>1130</v>
      </c>
      <c r="AE73" s="57">
        <f t="shared" si="1"/>
        <v>100</v>
      </c>
      <c r="AF73" s="58" t="s">
        <v>386</v>
      </c>
    </row>
    <row r="74" spans="2:32" ht="30" customHeight="1">
      <c r="B74" s="21" t="s">
        <v>282</v>
      </c>
      <c r="C74" s="22" t="s">
        <v>283</v>
      </c>
      <c r="D74" s="22" t="s">
        <v>279</v>
      </c>
      <c r="E74" s="22" t="s">
        <v>14</v>
      </c>
      <c r="F74" s="30" t="s">
        <v>699</v>
      </c>
      <c r="G74" s="30" t="s">
        <v>700</v>
      </c>
      <c r="H74" s="30">
        <v>25</v>
      </c>
      <c r="I74" s="30">
        <v>3</v>
      </c>
      <c r="J74" s="30" t="s">
        <v>1129</v>
      </c>
      <c r="K74" s="54" t="s">
        <v>702</v>
      </c>
      <c r="L74" s="55" t="s">
        <v>703</v>
      </c>
      <c r="M74" s="55">
        <v>20</v>
      </c>
      <c r="N74" s="55">
        <v>3</v>
      </c>
      <c r="O74" s="55" t="s">
        <v>1129</v>
      </c>
      <c r="P74" s="55" t="s">
        <v>717</v>
      </c>
      <c r="Q74" s="55" t="s">
        <v>718</v>
      </c>
      <c r="R74" s="55">
        <v>20</v>
      </c>
      <c r="S74" s="55">
        <v>3</v>
      </c>
      <c r="T74" s="55" t="s">
        <v>1129</v>
      </c>
      <c r="U74" s="55" t="s">
        <v>929</v>
      </c>
      <c r="V74" s="55" t="s">
        <v>930</v>
      </c>
      <c r="W74" s="55">
        <v>20</v>
      </c>
      <c r="X74" s="55">
        <v>3</v>
      </c>
      <c r="Y74" s="55" t="s">
        <v>1128</v>
      </c>
      <c r="Z74" s="55" t="s">
        <v>1005</v>
      </c>
      <c r="AA74" s="55" t="s">
        <v>1006</v>
      </c>
      <c r="AB74" s="55">
        <v>15</v>
      </c>
      <c r="AC74" s="55">
        <v>3</v>
      </c>
      <c r="AD74" s="55" t="s">
        <v>1130</v>
      </c>
      <c r="AE74" s="55">
        <f t="shared" si="1"/>
        <v>100</v>
      </c>
      <c r="AF74" s="56" t="s">
        <v>386</v>
      </c>
    </row>
    <row r="75" spans="2:32" ht="30" customHeight="1">
      <c r="B75" s="21" t="s">
        <v>285</v>
      </c>
      <c r="C75" s="22" t="s">
        <v>286</v>
      </c>
      <c r="D75" s="22" t="s">
        <v>279</v>
      </c>
      <c r="E75" s="22" t="s">
        <v>14</v>
      </c>
      <c r="F75" s="30" t="s">
        <v>699</v>
      </c>
      <c r="G75" s="30" t="s">
        <v>700</v>
      </c>
      <c r="H75" s="30">
        <v>25</v>
      </c>
      <c r="I75" s="30">
        <v>3</v>
      </c>
      <c r="J75" s="30" t="s">
        <v>1129</v>
      </c>
      <c r="K75" s="54" t="s">
        <v>702</v>
      </c>
      <c r="L75" s="57" t="s">
        <v>703</v>
      </c>
      <c r="M75" s="57">
        <v>20</v>
      </c>
      <c r="N75" s="57">
        <v>3</v>
      </c>
      <c r="O75" s="57" t="s">
        <v>1129</v>
      </c>
      <c r="P75" s="57" t="s">
        <v>717</v>
      </c>
      <c r="Q75" s="57" t="s">
        <v>718</v>
      </c>
      <c r="R75" s="57">
        <v>20</v>
      </c>
      <c r="S75" s="57">
        <v>3</v>
      </c>
      <c r="T75" s="57" t="s">
        <v>1129</v>
      </c>
      <c r="U75" s="57" t="s">
        <v>929</v>
      </c>
      <c r="V75" s="57" t="s">
        <v>930</v>
      </c>
      <c r="W75" s="57">
        <v>20</v>
      </c>
      <c r="X75" s="57">
        <v>3</v>
      </c>
      <c r="Y75" s="57" t="s">
        <v>1128</v>
      </c>
      <c r="Z75" s="57" t="s">
        <v>1005</v>
      </c>
      <c r="AA75" s="57" t="s">
        <v>1006</v>
      </c>
      <c r="AB75" s="57">
        <v>15</v>
      </c>
      <c r="AC75" s="57">
        <v>3</v>
      </c>
      <c r="AD75" s="57" t="s">
        <v>1130</v>
      </c>
      <c r="AE75" s="57">
        <f t="shared" si="1"/>
        <v>100</v>
      </c>
      <c r="AF75" s="58" t="s">
        <v>386</v>
      </c>
    </row>
    <row r="76" spans="2:32" ht="30" customHeight="1">
      <c r="B76" s="21" t="s">
        <v>288</v>
      </c>
      <c r="C76" s="22" t="s">
        <v>289</v>
      </c>
      <c r="D76" s="22" t="s">
        <v>279</v>
      </c>
      <c r="E76" s="22" t="s">
        <v>14</v>
      </c>
      <c r="F76" s="30" t="s">
        <v>699</v>
      </c>
      <c r="G76" s="30" t="s">
        <v>700</v>
      </c>
      <c r="H76" s="30">
        <v>25</v>
      </c>
      <c r="I76" s="30">
        <v>3</v>
      </c>
      <c r="J76" s="30" t="s">
        <v>1129</v>
      </c>
      <c r="K76" s="54" t="s">
        <v>702</v>
      </c>
      <c r="L76" s="55" t="s">
        <v>703</v>
      </c>
      <c r="M76" s="55">
        <v>20</v>
      </c>
      <c r="N76" s="55">
        <v>3</v>
      </c>
      <c r="O76" s="55" t="s">
        <v>1129</v>
      </c>
      <c r="P76" s="55" t="s">
        <v>717</v>
      </c>
      <c r="Q76" s="55" t="s">
        <v>718</v>
      </c>
      <c r="R76" s="55">
        <v>20</v>
      </c>
      <c r="S76" s="55">
        <v>3</v>
      </c>
      <c r="T76" s="55" t="s">
        <v>1129</v>
      </c>
      <c r="U76" s="55" t="s">
        <v>929</v>
      </c>
      <c r="V76" s="55" t="s">
        <v>930</v>
      </c>
      <c r="W76" s="55">
        <v>20</v>
      </c>
      <c r="X76" s="55">
        <v>3</v>
      </c>
      <c r="Y76" s="55" t="s">
        <v>1128</v>
      </c>
      <c r="Z76" s="55" t="s">
        <v>1005</v>
      </c>
      <c r="AA76" s="55" t="s">
        <v>1006</v>
      </c>
      <c r="AB76" s="55">
        <v>15</v>
      </c>
      <c r="AC76" s="55">
        <v>3</v>
      </c>
      <c r="AD76" s="55" t="s">
        <v>1130</v>
      </c>
      <c r="AE76" s="55">
        <f t="shared" si="1"/>
        <v>100</v>
      </c>
      <c r="AF76" s="56" t="s">
        <v>386</v>
      </c>
    </row>
    <row r="77" spans="2:32" ht="30" customHeight="1">
      <c r="B77" s="21" t="s">
        <v>291</v>
      </c>
      <c r="C77" s="22" t="s">
        <v>292</v>
      </c>
      <c r="D77" s="22" t="s">
        <v>279</v>
      </c>
      <c r="E77" s="22" t="s">
        <v>14</v>
      </c>
      <c r="F77" s="30" t="s">
        <v>699</v>
      </c>
      <c r="G77" s="30" t="s">
        <v>700</v>
      </c>
      <c r="H77" s="30">
        <v>25</v>
      </c>
      <c r="I77" s="30">
        <v>3</v>
      </c>
      <c r="J77" s="30" t="s">
        <v>1129</v>
      </c>
      <c r="K77" s="54" t="s">
        <v>702</v>
      </c>
      <c r="L77" s="57" t="s">
        <v>703</v>
      </c>
      <c r="M77" s="57">
        <v>20</v>
      </c>
      <c r="N77" s="57">
        <v>3</v>
      </c>
      <c r="O77" s="57" t="s">
        <v>1129</v>
      </c>
      <c r="P77" s="57" t="s">
        <v>717</v>
      </c>
      <c r="Q77" s="57" t="s">
        <v>718</v>
      </c>
      <c r="R77" s="57">
        <v>20</v>
      </c>
      <c r="S77" s="57">
        <v>3</v>
      </c>
      <c r="T77" s="57" t="s">
        <v>1129</v>
      </c>
      <c r="U77" s="57" t="s">
        <v>929</v>
      </c>
      <c r="V77" s="57" t="s">
        <v>930</v>
      </c>
      <c r="W77" s="57">
        <v>20</v>
      </c>
      <c r="X77" s="57">
        <v>3</v>
      </c>
      <c r="Y77" s="57" t="s">
        <v>1128</v>
      </c>
      <c r="Z77" s="57" t="s">
        <v>1005</v>
      </c>
      <c r="AA77" s="57" t="s">
        <v>1006</v>
      </c>
      <c r="AB77" s="57">
        <v>15</v>
      </c>
      <c r="AC77" s="57">
        <v>3</v>
      </c>
      <c r="AD77" s="57" t="s">
        <v>1130</v>
      </c>
      <c r="AE77" s="57">
        <f t="shared" si="1"/>
        <v>100</v>
      </c>
      <c r="AF77" s="58" t="s">
        <v>386</v>
      </c>
    </row>
    <row r="78" spans="2:32" ht="30" customHeight="1">
      <c r="B78" s="21" t="s">
        <v>294</v>
      </c>
      <c r="C78" s="22" t="s">
        <v>295</v>
      </c>
      <c r="D78" s="22" t="s">
        <v>279</v>
      </c>
      <c r="E78" s="22" t="s">
        <v>14</v>
      </c>
      <c r="F78" s="30" t="s">
        <v>699</v>
      </c>
      <c r="G78" s="30" t="s">
        <v>700</v>
      </c>
      <c r="H78" s="30">
        <v>25</v>
      </c>
      <c r="I78" s="30">
        <v>3</v>
      </c>
      <c r="J78" s="30" t="s">
        <v>1129</v>
      </c>
      <c r="K78" s="54" t="s">
        <v>702</v>
      </c>
      <c r="L78" s="55" t="s">
        <v>703</v>
      </c>
      <c r="M78" s="55">
        <v>20</v>
      </c>
      <c r="N78" s="55">
        <v>3</v>
      </c>
      <c r="O78" s="55" t="s">
        <v>1129</v>
      </c>
      <c r="P78" s="55" t="s">
        <v>717</v>
      </c>
      <c r="Q78" s="55" t="s">
        <v>718</v>
      </c>
      <c r="R78" s="55">
        <v>20</v>
      </c>
      <c r="S78" s="55">
        <v>3</v>
      </c>
      <c r="T78" s="55" t="s">
        <v>1129</v>
      </c>
      <c r="U78" s="55" t="s">
        <v>929</v>
      </c>
      <c r="V78" s="55" t="s">
        <v>930</v>
      </c>
      <c r="W78" s="55">
        <v>20</v>
      </c>
      <c r="X78" s="55">
        <v>3</v>
      </c>
      <c r="Y78" s="55" t="s">
        <v>1128</v>
      </c>
      <c r="Z78" s="55" t="s">
        <v>1005</v>
      </c>
      <c r="AA78" s="55" t="s">
        <v>1006</v>
      </c>
      <c r="AB78" s="55">
        <v>15</v>
      </c>
      <c r="AC78" s="55">
        <v>3</v>
      </c>
      <c r="AD78" s="55" t="s">
        <v>1130</v>
      </c>
      <c r="AE78" s="55">
        <f t="shared" si="1"/>
        <v>100</v>
      </c>
      <c r="AF78" s="56" t="s">
        <v>386</v>
      </c>
    </row>
    <row r="79" spans="2:32" ht="30" customHeight="1">
      <c r="B79" s="21" t="s">
        <v>297</v>
      </c>
      <c r="C79" s="22" t="s">
        <v>298</v>
      </c>
      <c r="D79" s="22" t="s">
        <v>298</v>
      </c>
      <c r="E79" s="22" t="s">
        <v>23</v>
      </c>
      <c r="F79" s="30" t="s">
        <v>1023</v>
      </c>
      <c r="G79" s="30" t="s">
        <v>1025</v>
      </c>
      <c r="H79" s="30">
        <v>25</v>
      </c>
      <c r="I79" s="30">
        <v>4</v>
      </c>
      <c r="J79" s="30" t="s">
        <v>1130</v>
      </c>
      <c r="K79" s="54" t="s">
        <v>1027</v>
      </c>
      <c r="L79" s="57" t="s">
        <v>1028</v>
      </c>
      <c r="M79" s="57">
        <v>20</v>
      </c>
      <c r="N79" s="57">
        <v>4</v>
      </c>
      <c r="O79" s="57" t="s">
        <v>1130</v>
      </c>
      <c r="P79" s="57" t="s">
        <v>983</v>
      </c>
      <c r="Q79" s="57" t="s">
        <v>984</v>
      </c>
      <c r="R79" s="57">
        <v>20</v>
      </c>
      <c r="S79" s="57">
        <v>4</v>
      </c>
      <c r="T79" s="57" t="s">
        <v>1129</v>
      </c>
      <c r="U79" s="57" t="s">
        <v>745</v>
      </c>
      <c r="V79" s="57" t="s">
        <v>748</v>
      </c>
      <c r="W79" s="57">
        <v>20</v>
      </c>
      <c r="X79" s="57">
        <v>4</v>
      </c>
      <c r="Y79" s="57" t="s">
        <v>1127</v>
      </c>
      <c r="Z79" s="57" t="s">
        <v>699</v>
      </c>
      <c r="AA79" s="57" t="s">
        <v>700</v>
      </c>
      <c r="AB79" s="57">
        <v>15</v>
      </c>
      <c r="AC79" s="57">
        <v>4</v>
      </c>
      <c r="AD79" s="57" t="s">
        <v>1129</v>
      </c>
      <c r="AE79" s="57">
        <f t="shared" si="1"/>
        <v>100</v>
      </c>
      <c r="AF79" s="58" t="s">
        <v>386</v>
      </c>
    </row>
    <row r="80" spans="2:32" ht="30" customHeight="1">
      <c r="B80" s="21" t="s">
        <v>300</v>
      </c>
      <c r="C80" s="22" t="s">
        <v>301</v>
      </c>
      <c r="D80" s="22" t="s">
        <v>298</v>
      </c>
      <c r="E80" s="22" t="s">
        <v>23</v>
      </c>
      <c r="F80" s="30" t="s">
        <v>1023</v>
      </c>
      <c r="G80" s="30" t="s">
        <v>1025</v>
      </c>
      <c r="H80" s="30">
        <v>25</v>
      </c>
      <c r="I80" s="30">
        <v>3</v>
      </c>
      <c r="J80" s="30" t="s">
        <v>1130</v>
      </c>
      <c r="K80" s="54" t="s">
        <v>1027</v>
      </c>
      <c r="L80" s="55" t="s">
        <v>1028</v>
      </c>
      <c r="M80" s="55">
        <v>20</v>
      </c>
      <c r="N80" s="55">
        <v>3</v>
      </c>
      <c r="O80" s="55" t="s">
        <v>1130</v>
      </c>
      <c r="P80" s="55" t="s">
        <v>983</v>
      </c>
      <c r="Q80" s="55" t="s">
        <v>984</v>
      </c>
      <c r="R80" s="55">
        <v>20</v>
      </c>
      <c r="S80" s="55">
        <v>3</v>
      </c>
      <c r="T80" s="55" t="s">
        <v>1129</v>
      </c>
      <c r="U80" s="55" t="s">
        <v>745</v>
      </c>
      <c r="V80" s="55" t="s">
        <v>748</v>
      </c>
      <c r="W80" s="55">
        <v>20</v>
      </c>
      <c r="X80" s="55">
        <v>3</v>
      </c>
      <c r="Y80" s="55" t="s">
        <v>1127</v>
      </c>
      <c r="Z80" s="55" t="s">
        <v>699</v>
      </c>
      <c r="AA80" s="55" t="s">
        <v>700</v>
      </c>
      <c r="AB80" s="55">
        <v>15</v>
      </c>
      <c r="AC80" s="55">
        <v>3</v>
      </c>
      <c r="AD80" s="55" t="s">
        <v>1129</v>
      </c>
      <c r="AE80" s="55">
        <f t="shared" si="1"/>
        <v>100</v>
      </c>
      <c r="AF80" s="56" t="s">
        <v>386</v>
      </c>
    </row>
    <row r="81" spans="2:32" ht="30" customHeight="1">
      <c r="B81" s="21" t="s">
        <v>304</v>
      </c>
      <c r="C81" s="22" t="s">
        <v>34</v>
      </c>
      <c r="D81" s="22" t="s">
        <v>298</v>
      </c>
      <c r="E81" s="22" t="s">
        <v>23</v>
      </c>
      <c r="F81" s="30" t="s">
        <v>604</v>
      </c>
      <c r="G81" s="30" t="s">
        <v>605</v>
      </c>
      <c r="H81" s="30">
        <v>25</v>
      </c>
      <c r="I81" s="30">
        <v>3</v>
      </c>
      <c r="J81" s="30" t="s">
        <v>1126</v>
      </c>
      <c r="K81" s="54" t="s">
        <v>613</v>
      </c>
      <c r="L81" s="57" t="s">
        <v>614</v>
      </c>
      <c r="M81" s="57">
        <v>20</v>
      </c>
      <c r="N81" s="57">
        <v>3</v>
      </c>
      <c r="O81" s="57" t="s">
        <v>1126</v>
      </c>
      <c r="P81" s="57" t="s">
        <v>616</v>
      </c>
      <c r="Q81" s="57" t="s">
        <v>617</v>
      </c>
      <c r="R81" s="57">
        <v>20</v>
      </c>
      <c r="S81" s="57">
        <v>3</v>
      </c>
      <c r="T81" s="57" t="s">
        <v>1126</v>
      </c>
      <c r="U81" s="57" t="s">
        <v>916</v>
      </c>
      <c r="V81" s="57" t="s">
        <v>917</v>
      </c>
      <c r="W81" s="57">
        <v>20</v>
      </c>
      <c r="X81" s="57">
        <v>3</v>
      </c>
      <c r="Y81" s="57" t="s">
        <v>1128</v>
      </c>
      <c r="Z81" s="57" t="s">
        <v>484</v>
      </c>
      <c r="AA81" s="57" t="s">
        <v>485</v>
      </c>
      <c r="AB81" s="57">
        <v>15</v>
      </c>
      <c r="AC81" s="57">
        <v>3</v>
      </c>
      <c r="AD81" s="57" t="s">
        <v>1125</v>
      </c>
      <c r="AE81" s="57">
        <f t="shared" si="1"/>
        <v>100</v>
      </c>
      <c r="AF81" s="58" t="s">
        <v>386</v>
      </c>
    </row>
    <row r="82" spans="2:32" ht="30" customHeight="1">
      <c r="B82" s="21" t="s">
        <v>305</v>
      </c>
      <c r="C82" s="22" t="s">
        <v>306</v>
      </c>
      <c r="D82" s="22" t="s">
        <v>298</v>
      </c>
      <c r="E82" s="22" t="s">
        <v>23</v>
      </c>
      <c r="F82" s="30" t="s">
        <v>1023</v>
      </c>
      <c r="G82" s="30" t="s">
        <v>1025</v>
      </c>
      <c r="H82" s="30">
        <v>25</v>
      </c>
      <c r="I82" s="30">
        <v>3</v>
      </c>
      <c r="J82" s="30" t="s">
        <v>1130</v>
      </c>
      <c r="K82" s="54" t="s">
        <v>1027</v>
      </c>
      <c r="L82" s="55" t="s">
        <v>1028</v>
      </c>
      <c r="M82" s="55">
        <v>20</v>
      </c>
      <c r="N82" s="55">
        <v>3</v>
      </c>
      <c r="O82" s="55" t="s">
        <v>1130</v>
      </c>
      <c r="P82" s="55" t="s">
        <v>983</v>
      </c>
      <c r="Q82" s="55" t="s">
        <v>984</v>
      </c>
      <c r="R82" s="55">
        <v>20</v>
      </c>
      <c r="S82" s="55">
        <v>3</v>
      </c>
      <c r="T82" s="55" t="s">
        <v>1129</v>
      </c>
      <c r="U82" s="55" t="s">
        <v>745</v>
      </c>
      <c r="V82" s="55" t="s">
        <v>748</v>
      </c>
      <c r="W82" s="55">
        <v>20</v>
      </c>
      <c r="X82" s="55">
        <v>3</v>
      </c>
      <c r="Y82" s="55" t="s">
        <v>1127</v>
      </c>
      <c r="Z82" s="55" t="s">
        <v>699</v>
      </c>
      <c r="AA82" s="55" t="s">
        <v>700</v>
      </c>
      <c r="AB82" s="55">
        <v>15</v>
      </c>
      <c r="AC82" s="55">
        <v>3</v>
      </c>
      <c r="AD82" s="55" t="s">
        <v>1129</v>
      </c>
      <c r="AE82" s="55">
        <f t="shared" si="1"/>
        <v>100</v>
      </c>
      <c r="AF82" s="56" t="s">
        <v>386</v>
      </c>
    </row>
    <row r="83" spans="2:32" ht="30" customHeight="1">
      <c r="B83" s="21" t="s">
        <v>309</v>
      </c>
      <c r="C83" s="22" t="s">
        <v>310</v>
      </c>
      <c r="D83" s="22" t="s">
        <v>298</v>
      </c>
      <c r="E83" s="22" t="s">
        <v>23</v>
      </c>
      <c r="F83" s="30" t="s">
        <v>1023</v>
      </c>
      <c r="G83" s="30" t="s">
        <v>1025</v>
      </c>
      <c r="H83" s="30">
        <v>25</v>
      </c>
      <c r="I83" s="30">
        <v>3</v>
      </c>
      <c r="J83" s="30" t="s">
        <v>1130</v>
      </c>
      <c r="K83" s="54" t="s">
        <v>1027</v>
      </c>
      <c r="L83" s="57" t="s">
        <v>1028</v>
      </c>
      <c r="M83" s="57">
        <v>20</v>
      </c>
      <c r="N83" s="57">
        <v>3</v>
      </c>
      <c r="O83" s="57" t="s">
        <v>1130</v>
      </c>
      <c r="P83" s="57" t="s">
        <v>983</v>
      </c>
      <c r="Q83" s="57" t="s">
        <v>984</v>
      </c>
      <c r="R83" s="57">
        <v>20</v>
      </c>
      <c r="S83" s="57">
        <v>3</v>
      </c>
      <c r="T83" s="57" t="s">
        <v>1129</v>
      </c>
      <c r="U83" s="57" t="s">
        <v>745</v>
      </c>
      <c r="V83" s="57" t="s">
        <v>748</v>
      </c>
      <c r="W83" s="57">
        <v>20</v>
      </c>
      <c r="X83" s="57">
        <v>3</v>
      </c>
      <c r="Y83" s="57" t="s">
        <v>1127</v>
      </c>
      <c r="Z83" s="57" t="s">
        <v>699</v>
      </c>
      <c r="AA83" s="57" t="s">
        <v>700</v>
      </c>
      <c r="AB83" s="57">
        <v>15</v>
      </c>
      <c r="AC83" s="57">
        <v>3</v>
      </c>
      <c r="AD83" s="57" t="s">
        <v>1129</v>
      </c>
      <c r="AE83" s="57">
        <f t="shared" si="1"/>
        <v>100</v>
      </c>
      <c r="AF83" s="58" t="s">
        <v>386</v>
      </c>
    </row>
    <row r="84" spans="2:32" ht="30" customHeight="1">
      <c r="B84" s="21" t="s">
        <v>313</v>
      </c>
      <c r="C84" s="22" t="s">
        <v>314</v>
      </c>
      <c r="D84" s="22" t="s">
        <v>298</v>
      </c>
      <c r="E84" s="22" t="s">
        <v>23</v>
      </c>
      <c r="F84" s="30" t="s">
        <v>1023</v>
      </c>
      <c r="G84" s="30" t="s">
        <v>1025</v>
      </c>
      <c r="H84" s="30">
        <v>25</v>
      </c>
      <c r="I84" s="30">
        <v>3</v>
      </c>
      <c r="J84" s="30" t="s">
        <v>1130</v>
      </c>
      <c r="K84" s="54" t="s">
        <v>1027</v>
      </c>
      <c r="L84" s="55" t="s">
        <v>1028</v>
      </c>
      <c r="M84" s="55">
        <v>20</v>
      </c>
      <c r="N84" s="55">
        <v>3</v>
      </c>
      <c r="O84" s="55" t="s">
        <v>1130</v>
      </c>
      <c r="P84" s="55" t="s">
        <v>983</v>
      </c>
      <c r="Q84" s="55" t="s">
        <v>984</v>
      </c>
      <c r="R84" s="55">
        <v>20</v>
      </c>
      <c r="S84" s="55">
        <v>3</v>
      </c>
      <c r="T84" s="55" t="s">
        <v>1129</v>
      </c>
      <c r="U84" s="55" t="s">
        <v>745</v>
      </c>
      <c r="V84" s="55" t="s">
        <v>748</v>
      </c>
      <c r="W84" s="55">
        <v>20</v>
      </c>
      <c r="X84" s="55">
        <v>3</v>
      </c>
      <c r="Y84" s="55" t="s">
        <v>1127</v>
      </c>
      <c r="Z84" s="55" t="s">
        <v>699</v>
      </c>
      <c r="AA84" s="55" t="s">
        <v>700</v>
      </c>
      <c r="AB84" s="55">
        <v>15</v>
      </c>
      <c r="AC84" s="55">
        <v>3</v>
      </c>
      <c r="AD84" s="55" t="s">
        <v>1129</v>
      </c>
      <c r="AE84" s="55">
        <f t="shared" si="1"/>
        <v>100</v>
      </c>
      <c r="AF84" s="56" t="s">
        <v>386</v>
      </c>
    </row>
    <row r="85" spans="2:32" ht="30" customHeight="1">
      <c r="B85" s="21" t="s">
        <v>317</v>
      </c>
      <c r="C85" s="22" t="s">
        <v>318</v>
      </c>
      <c r="D85" s="22" t="s">
        <v>298</v>
      </c>
      <c r="E85" s="22" t="s">
        <v>23</v>
      </c>
      <c r="F85" s="30" t="s">
        <v>1023</v>
      </c>
      <c r="G85" s="30" t="s">
        <v>1025</v>
      </c>
      <c r="H85" s="30">
        <v>25</v>
      </c>
      <c r="I85" s="30">
        <v>3</v>
      </c>
      <c r="J85" s="30" t="s">
        <v>1130</v>
      </c>
      <c r="K85" s="54" t="s">
        <v>1027</v>
      </c>
      <c r="L85" s="57" t="s">
        <v>1028</v>
      </c>
      <c r="M85" s="57">
        <v>20</v>
      </c>
      <c r="N85" s="57">
        <v>3</v>
      </c>
      <c r="O85" s="57" t="s">
        <v>1130</v>
      </c>
      <c r="P85" s="57" t="s">
        <v>983</v>
      </c>
      <c r="Q85" s="57" t="s">
        <v>984</v>
      </c>
      <c r="R85" s="57">
        <v>20</v>
      </c>
      <c r="S85" s="57">
        <v>3</v>
      </c>
      <c r="T85" s="57" t="s">
        <v>1129</v>
      </c>
      <c r="U85" s="57" t="s">
        <v>745</v>
      </c>
      <c r="V85" s="57" t="s">
        <v>748</v>
      </c>
      <c r="W85" s="57">
        <v>20</v>
      </c>
      <c r="X85" s="57">
        <v>3</v>
      </c>
      <c r="Y85" s="57" t="s">
        <v>1127</v>
      </c>
      <c r="Z85" s="57" t="s">
        <v>699</v>
      </c>
      <c r="AA85" s="57" t="s">
        <v>700</v>
      </c>
      <c r="AB85" s="57">
        <v>15</v>
      </c>
      <c r="AC85" s="57">
        <v>3</v>
      </c>
      <c r="AD85" s="57" t="s">
        <v>1129</v>
      </c>
      <c r="AE85" s="57">
        <f t="shared" si="1"/>
        <v>100</v>
      </c>
      <c r="AF85" s="58" t="s">
        <v>386</v>
      </c>
    </row>
    <row r="86" spans="2:32" ht="30" customHeight="1">
      <c r="B86" s="21" t="s">
        <v>321</v>
      </c>
      <c r="C86" s="22" t="s">
        <v>322</v>
      </c>
      <c r="D86" s="22" t="s">
        <v>298</v>
      </c>
      <c r="E86" s="22" t="s">
        <v>23</v>
      </c>
      <c r="F86" s="30" t="s">
        <v>1023</v>
      </c>
      <c r="G86" s="30" t="s">
        <v>1025</v>
      </c>
      <c r="H86" s="30">
        <v>25</v>
      </c>
      <c r="I86" s="30">
        <v>3</v>
      </c>
      <c r="J86" s="30" t="s">
        <v>1130</v>
      </c>
      <c r="K86" s="54" t="s">
        <v>1027</v>
      </c>
      <c r="L86" s="55" t="s">
        <v>1028</v>
      </c>
      <c r="M86" s="55">
        <v>20</v>
      </c>
      <c r="N86" s="55">
        <v>3</v>
      </c>
      <c r="O86" s="55" t="s">
        <v>1130</v>
      </c>
      <c r="P86" s="55" t="s">
        <v>983</v>
      </c>
      <c r="Q86" s="55" t="s">
        <v>984</v>
      </c>
      <c r="R86" s="55">
        <v>20</v>
      </c>
      <c r="S86" s="55">
        <v>3</v>
      </c>
      <c r="T86" s="55" t="s">
        <v>1129</v>
      </c>
      <c r="U86" s="55" t="s">
        <v>745</v>
      </c>
      <c r="V86" s="55" t="s">
        <v>748</v>
      </c>
      <c r="W86" s="55">
        <v>20</v>
      </c>
      <c r="X86" s="55">
        <v>3</v>
      </c>
      <c r="Y86" s="55" t="s">
        <v>1127</v>
      </c>
      <c r="Z86" s="55" t="s">
        <v>699</v>
      </c>
      <c r="AA86" s="55" t="s">
        <v>700</v>
      </c>
      <c r="AB86" s="55">
        <v>15</v>
      </c>
      <c r="AC86" s="55">
        <v>3</v>
      </c>
      <c r="AD86" s="55" t="s">
        <v>1129</v>
      </c>
      <c r="AE86" s="55">
        <f t="shared" si="1"/>
        <v>100</v>
      </c>
      <c r="AF86" s="56" t="s">
        <v>386</v>
      </c>
    </row>
    <row r="87" spans="2:32" ht="30" customHeight="1">
      <c r="B87" s="21" t="s">
        <v>325</v>
      </c>
      <c r="C87" s="22" t="s">
        <v>235</v>
      </c>
      <c r="D87" s="22" t="s">
        <v>298</v>
      </c>
      <c r="E87" s="22" t="s">
        <v>23</v>
      </c>
      <c r="F87" s="30" t="s">
        <v>1023</v>
      </c>
      <c r="G87" s="30" t="s">
        <v>1025</v>
      </c>
      <c r="H87" s="30">
        <v>25</v>
      </c>
      <c r="I87" s="30">
        <v>3</v>
      </c>
      <c r="J87" s="30" t="s">
        <v>1130</v>
      </c>
      <c r="K87" s="54" t="s">
        <v>1027</v>
      </c>
      <c r="L87" s="57" t="s">
        <v>1028</v>
      </c>
      <c r="M87" s="57">
        <v>20</v>
      </c>
      <c r="N87" s="57">
        <v>3</v>
      </c>
      <c r="O87" s="57" t="s">
        <v>1130</v>
      </c>
      <c r="P87" s="57" t="s">
        <v>983</v>
      </c>
      <c r="Q87" s="57" t="s">
        <v>984</v>
      </c>
      <c r="R87" s="57">
        <v>20</v>
      </c>
      <c r="S87" s="57">
        <v>3</v>
      </c>
      <c r="T87" s="57" t="s">
        <v>1129</v>
      </c>
      <c r="U87" s="57" t="s">
        <v>745</v>
      </c>
      <c r="V87" s="57" t="s">
        <v>748</v>
      </c>
      <c r="W87" s="57">
        <v>20</v>
      </c>
      <c r="X87" s="57">
        <v>3</v>
      </c>
      <c r="Y87" s="57" t="s">
        <v>1127</v>
      </c>
      <c r="Z87" s="57" t="s">
        <v>699</v>
      </c>
      <c r="AA87" s="57" t="s">
        <v>700</v>
      </c>
      <c r="AB87" s="57">
        <v>15</v>
      </c>
      <c r="AC87" s="57">
        <v>3</v>
      </c>
      <c r="AD87" s="57" t="s">
        <v>1129</v>
      </c>
      <c r="AE87" s="57">
        <f t="shared" si="1"/>
        <v>100</v>
      </c>
      <c r="AF87" s="58" t="s">
        <v>386</v>
      </c>
    </row>
    <row r="88" spans="2:32" ht="30" customHeight="1">
      <c r="B88" s="21" t="s">
        <v>327</v>
      </c>
      <c r="C88" s="22" t="s">
        <v>328</v>
      </c>
      <c r="D88" s="22" t="s">
        <v>298</v>
      </c>
      <c r="E88" s="22" t="s">
        <v>23</v>
      </c>
      <c r="F88" s="30" t="s">
        <v>1023</v>
      </c>
      <c r="G88" s="30" t="s">
        <v>1025</v>
      </c>
      <c r="H88" s="30">
        <v>25</v>
      </c>
      <c r="I88" s="30">
        <v>3</v>
      </c>
      <c r="J88" s="30" t="s">
        <v>1130</v>
      </c>
      <c r="K88" s="54" t="s">
        <v>1027</v>
      </c>
      <c r="L88" s="55" t="s">
        <v>1028</v>
      </c>
      <c r="M88" s="55">
        <v>20</v>
      </c>
      <c r="N88" s="55">
        <v>3</v>
      </c>
      <c r="O88" s="55" t="s">
        <v>1130</v>
      </c>
      <c r="P88" s="55" t="s">
        <v>983</v>
      </c>
      <c r="Q88" s="55" t="s">
        <v>984</v>
      </c>
      <c r="R88" s="55">
        <v>20</v>
      </c>
      <c r="S88" s="55">
        <v>3</v>
      </c>
      <c r="T88" s="55" t="s">
        <v>1129</v>
      </c>
      <c r="U88" s="55" t="s">
        <v>745</v>
      </c>
      <c r="V88" s="55" t="s">
        <v>748</v>
      </c>
      <c r="W88" s="55">
        <v>20</v>
      </c>
      <c r="X88" s="55">
        <v>3</v>
      </c>
      <c r="Y88" s="55" t="s">
        <v>1127</v>
      </c>
      <c r="Z88" s="55" t="s">
        <v>699</v>
      </c>
      <c r="AA88" s="55" t="s">
        <v>700</v>
      </c>
      <c r="AB88" s="55">
        <v>15</v>
      </c>
      <c r="AC88" s="55">
        <v>3</v>
      </c>
      <c r="AD88" s="55" t="s">
        <v>1129</v>
      </c>
      <c r="AE88" s="55">
        <f t="shared" si="1"/>
        <v>100</v>
      </c>
      <c r="AF88" s="56" t="s">
        <v>386</v>
      </c>
    </row>
    <row r="89" spans="2:32" ht="30" customHeight="1">
      <c r="B89" s="21" t="s">
        <v>331</v>
      </c>
      <c r="C89" s="22" t="s">
        <v>332</v>
      </c>
      <c r="D89" s="22" t="s">
        <v>298</v>
      </c>
      <c r="E89" s="22" t="s">
        <v>23</v>
      </c>
      <c r="F89" s="30" t="s">
        <v>1023</v>
      </c>
      <c r="G89" s="30" t="s">
        <v>1025</v>
      </c>
      <c r="H89" s="30">
        <v>25</v>
      </c>
      <c r="I89" s="30">
        <v>3</v>
      </c>
      <c r="J89" s="30" t="s">
        <v>1130</v>
      </c>
      <c r="K89" s="54" t="s">
        <v>1027</v>
      </c>
      <c r="L89" s="57" t="s">
        <v>1028</v>
      </c>
      <c r="M89" s="57">
        <v>20</v>
      </c>
      <c r="N89" s="57">
        <v>3</v>
      </c>
      <c r="O89" s="57" t="s">
        <v>1130</v>
      </c>
      <c r="P89" s="57" t="s">
        <v>983</v>
      </c>
      <c r="Q89" s="57" t="s">
        <v>984</v>
      </c>
      <c r="R89" s="57">
        <v>20</v>
      </c>
      <c r="S89" s="57">
        <v>3</v>
      </c>
      <c r="T89" s="57" t="s">
        <v>1129</v>
      </c>
      <c r="U89" s="57" t="s">
        <v>745</v>
      </c>
      <c r="V89" s="57" t="s">
        <v>748</v>
      </c>
      <c r="W89" s="57">
        <v>20</v>
      </c>
      <c r="X89" s="57">
        <v>3</v>
      </c>
      <c r="Y89" s="57" t="s">
        <v>1127</v>
      </c>
      <c r="Z89" s="57" t="s">
        <v>699</v>
      </c>
      <c r="AA89" s="57" t="s">
        <v>700</v>
      </c>
      <c r="AB89" s="57">
        <v>15</v>
      </c>
      <c r="AC89" s="57">
        <v>3</v>
      </c>
      <c r="AD89" s="57" t="s">
        <v>1129</v>
      </c>
      <c r="AE89" s="57">
        <f t="shared" si="1"/>
        <v>100</v>
      </c>
      <c r="AF89" s="58" t="s">
        <v>386</v>
      </c>
    </row>
    <row r="90" spans="2:32" ht="30" customHeight="1">
      <c r="B90" s="21" t="s">
        <v>334</v>
      </c>
      <c r="C90" s="22" t="s">
        <v>279</v>
      </c>
      <c r="D90" s="22" t="s">
        <v>298</v>
      </c>
      <c r="E90" s="22" t="s">
        <v>23</v>
      </c>
      <c r="F90" s="30" t="s">
        <v>1023</v>
      </c>
      <c r="G90" s="30" t="s">
        <v>1025</v>
      </c>
      <c r="H90" s="30">
        <v>25</v>
      </c>
      <c r="I90" s="30">
        <v>3</v>
      </c>
      <c r="J90" s="30" t="s">
        <v>1130</v>
      </c>
      <c r="K90" s="54" t="s">
        <v>1027</v>
      </c>
      <c r="L90" s="55" t="s">
        <v>1028</v>
      </c>
      <c r="M90" s="55">
        <v>20</v>
      </c>
      <c r="N90" s="55">
        <v>3</v>
      </c>
      <c r="O90" s="55" t="s">
        <v>1130</v>
      </c>
      <c r="P90" s="55" t="s">
        <v>983</v>
      </c>
      <c r="Q90" s="55" t="s">
        <v>984</v>
      </c>
      <c r="R90" s="55">
        <v>20</v>
      </c>
      <c r="S90" s="55">
        <v>3</v>
      </c>
      <c r="T90" s="55" t="s">
        <v>1129</v>
      </c>
      <c r="U90" s="55" t="s">
        <v>745</v>
      </c>
      <c r="V90" s="55" t="s">
        <v>748</v>
      </c>
      <c r="W90" s="55">
        <v>20</v>
      </c>
      <c r="X90" s="55">
        <v>3</v>
      </c>
      <c r="Y90" s="55" t="s">
        <v>1127</v>
      </c>
      <c r="Z90" s="55" t="s">
        <v>699</v>
      </c>
      <c r="AA90" s="55" t="s">
        <v>700</v>
      </c>
      <c r="AB90" s="55">
        <v>15</v>
      </c>
      <c r="AC90" s="55">
        <v>3</v>
      </c>
      <c r="AD90" s="55" t="s">
        <v>1129</v>
      </c>
      <c r="AE90" s="55">
        <f t="shared" si="1"/>
        <v>100</v>
      </c>
      <c r="AF90" s="56" t="s">
        <v>386</v>
      </c>
    </row>
    <row r="91" spans="2:32" ht="30" customHeight="1">
      <c r="B91" s="21" t="s">
        <v>336</v>
      </c>
      <c r="C91" s="22" t="s">
        <v>337</v>
      </c>
      <c r="D91" s="22" t="s">
        <v>298</v>
      </c>
      <c r="E91" s="22" t="s">
        <v>23</v>
      </c>
      <c r="F91" s="30" t="s">
        <v>973</v>
      </c>
      <c r="G91" s="30" t="s">
        <v>975</v>
      </c>
      <c r="H91" s="30">
        <v>25</v>
      </c>
      <c r="I91" s="30">
        <v>3</v>
      </c>
      <c r="J91" s="30" t="s">
        <v>1129</v>
      </c>
      <c r="K91" s="54" t="s">
        <v>980</v>
      </c>
      <c r="L91" s="57" t="s">
        <v>981</v>
      </c>
      <c r="M91" s="57">
        <v>20</v>
      </c>
      <c r="N91" s="57">
        <v>3</v>
      </c>
      <c r="O91" s="57" t="s">
        <v>1129</v>
      </c>
      <c r="P91" s="57" t="s">
        <v>986</v>
      </c>
      <c r="Q91" s="57" t="s">
        <v>987</v>
      </c>
      <c r="R91" s="57">
        <v>20</v>
      </c>
      <c r="S91" s="57">
        <v>3</v>
      </c>
      <c r="T91" s="57" t="s">
        <v>1129</v>
      </c>
      <c r="U91" s="57" t="s">
        <v>497</v>
      </c>
      <c r="V91" s="57" t="s">
        <v>498</v>
      </c>
      <c r="W91" s="57">
        <v>20</v>
      </c>
      <c r="X91" s="57">
        <v>3</v>
      </c>
      <c r="Y91" s="57" t="s">
        <v>1125</v>
      </c>
      <c r="Z91" s="57" t="s">
        <v>544</v>
      </c>
      <c r="AA91" s="57" t="s">
        <v>546</v>
      </c>
      <c r="AB91" s="57">
        <v>15</v>
      </c>
      <c r="AC91" s="57">
        <v>3</v>
      </c>
      <c r="AD91" s="57" t="s">
        <v>1126</v>
      </c>
      <c r="AE91" s="57">
        <f t="shared" si="1"/>
        <v>100</v>
      </c>
      <c r="AF91" s="58" t="s">
        <v>386</v>
      </c>
    </row>
    <row r="92" spans="2:32" ht="30" customHeight="1">
      <c r="B92" s="21" t="s">
        <v>339</v>
      </c>
      <c r="C92" s="22" t="s">
        <v>340</v>
      </c>
      <c r="D92" s="22" t="s">
        <v>298</v>
      </c>
      <c r="E92" s="22" t="s">
        <v>23</v>
      </c>
      <c r="F92" s="30" t="s">
        <v>1023</v>
      </c>
      <c r="G92" s="30" t="s">
        <v>1025</v>
      </c>
      <c r="H92" s="30">
        <v>25</v>
      </c>
      <c r="I92" s="30">
        <v>3</v>
      </c>
      <c r="J92" s="30" t="s">
        <v>1130</v>
      </c>
      <c r="K92" s="54" t="s">
        <v>1027</v>
      </c>
      <c r="L92" s="55" t="s">
        <v>1028</v>
      </c>
      <c r="M92" s="55">
        <v>20</v>
      </c>
      <c r="N92" s="55">
        <v>3</v>
      </c>
      <c r="O92" s="55" t="s">
        <v>1130</v>
      </c>
      <c r="P92" s="55" t="s">
        <v>983</v>
      </c>
      <c r="Q92" s="55" t="s">
        <v>984</v>
      </c>
      <c r="R92" s="55">
        <v>20</v>
      </c>
      <c r="S92" s="55">
        <v>3</v>
      </c>
      <c r="T92" s="55" t="s">
        <v>1129</v>
      </c>
      <c r="U92" s="55" t="s">
        <v>745</v>
      </c>
      <c r="V92" s="55" t="s">
        <v>748</v>
      </c>
      <c r="W92" s="55">
        <v>20</v>
      </c>
      <c r="X92" s="55">
        <v>3</v>
      </c>
      <c r="Y92" s="55" t="s">
        <v>1127</v>
      </c>
      <c r="Z92" s="55" t="s">
        <v>699</v>
      </c>
      <c r="AA92" s="55" t="s">
        <v>700</v>
      </c>
      <c r="AB92" s="55">
        <v>15</v>
      </c>
      <c r="AC92" s="55">
        <v>3</v>
      </c>
      <c r="AD92" s="55" t="s">
        <v>1129</v>
      </c>
      <c r="AE92" s="55">
        <f t="shared" si="1"/>
        <v>100</v>
      </c>
      <c r="AF92" s="56" t="s">
        <v>386</v>
      </c>
    </row>
    <row r="93" spans="2:32" ht="30" customHeight="1">
      <c r="B93" s="21" t="s">
        <v>343</v>
      </c>
      <c r="C93" s="22" t="s">
        <v>337</v>
      </c>
      <c r="D93" s="22" t="s">
        <v>337</v>
      </c>
      <c r="E93" s="22" t="s">
        <v>23</v>
      </c>
      <c r="F93" s="30" t="s">
        <v>973</v>
      </c>
      <c r="G93" s="30" t="s">
        <v>975</v>
      </c>
      <c r="H93" s="30">
        <v>25</v>
      </c>
      <c r="I93" s="30">
        <v>4</v>
      </c>
      <c r="J93" s="30" t="s">
        <v>1129</v>
      </c>
      <c r="K93" s="54" t="s">
        <v>980</v>
      </c>
      <c r="L93" s="57" t="s">
        <v>981</v>
      </c>
      <c r="M93" s="57">
        <v>20</v>
      </c>
      <c r="N93" s="57">
        <v>4</v>
      </c>
      <c r="O93" s="57" t="s">
        <v>1129</v>
      </c>
      <c r="P93" s="57" t="s">
        <v>986</v>
      </c>
      <c r="Q93" s="57" t="s">
        <v>987</v>
      </c>
      <c r="R93" s="57">
        <v>20</v>
      </c>
      <c r="S93" s="57">
        <v>4</v>
      </c>
      <c r="T93" s="57" t="s">
        <v>1129</v>
      </c>
      <c r="U93" s="57" t="s">
        <v>497</v>
      </c>
      <c r="V93" s="57" t="s">
        <v>498</v>
      </c>
      <c r="W93" s="57">
        <v>20</v>
      </c>
      <c r="X93" s="57">
        <v>4</v>
      </c>
      <c r="Y93" s="57" t="s">
        <v>1125</v>
      </c>
      <c r="Z93" s="57" t="s">
        <v>544</v>
      </c>
      <c r="AA93" s="57" t="s">
        <v>546</v>
      </c>
      <c r="AB93" s="57">
        <v>15</v>
      </c>
      <c r="AC93" s="57">
        <v>4</v>
      </c>
      <c r="AD93" s="57" t="s">
        <v>1126</v>
      </c>
      <c r="AE93" s="57">
        <f t="shared" si="1"/>
        <v>100</v>
      </c>
      <c r="AF93" s="58" t="s">
        <v>386</v>
      </c>
    </row>
    <row r="94" spans="2:32" ht="30" customHeight="1">
      <c r="B94" s="21" t="s">
        <v>346</v>
      </c>
      <c r="C94" s="22" t="s">
        <v>347</v>
      </c>
      <c r="D94" s="22" t="s">
        <v>337</v>
      </c>
      <c r="E94" s="22" t="s">
        <v>23</v>
      </c>
      <c r="F94" s="30" t="s">
        <v>973</v>
      </c>
      <c r="G94" s="30" t="s">
        <v>975</v>
      </c>
      <c r="H94" s="30">
        <v>25</v>
      </c>
      <c r="I94" s="30">
        <v>3</v>
      </c>
      <c r="J94" s="30" t="s">
        <v>1129</v>
      </c>
      <c r="K94" s="54" t="s">
        <v>980</v>
      </c>
      <c r="L94" s="55" t="s">
        <v>981</v>
      </c>
      <c r="M94" s="55">
        <v>20</v>
      </c>
      <c r="N94" s="55">
        <v>3</v>
      </c>
      <c r="O94" s="55" t="s">
        <v>1129</v>
      </c>
      <c r="P94" s="55" t="s">
        <v>986</v>
      </c>
      <c r="Q94" s="55" t="s">
        <v>987</v>
      </c>
      <c r="R94" s="55">
        <v>20</v>
      </c>
      <c r="S94" s="55">
        <v>3</v>
      </c>
      <c r="T94" s="55" t="s">
        <v>1129</v>
      </c>
      <c r="U94" s="55" t="s">
        <v>497</v>
      </c>
      <c r="V94" s="55" t="s">
        <v>498</v>
      </c>
      <c r="W94" s="55">
        <v>20</v>
      </c>
      <c r="X94" s="55">
        <v>3</v>
      </c>
      <c r="Y94" s="55" t="s">
        <v>1125</v>
      </c>
      <c r="Z94" s="55" t="s">
        <v>544</v>
      </c>
      <c r="AA94" s="55" t="s">
        <v>546</v>
      </c>
      <c r="AB94" s="55">
        <v>15</v>
      </c>
      <c r="AC94" s="55">
        <v>3</v>
      </c>
      <c r="AD94" s="55" t="s">
        <v>1126</v>
      </c>
      <c r="AE94" s="55">
        <f t="shared" si="1"/>
        <v>100</v>
      </c>
      <c r="AF94" s="56" t="s">
        <v>386</v>
      </c>
    </row>
    <row r="95" spans="2:32" ht="30" customHeight="1">
      <c r="B95" s="21" t="s">
        <v>350</v>
      </c>
      <c r="C95" s="22" t="s">
        <v>351</v>
      </c>
      <c r="D95" s="22" t="s">
        <v>337</v>
      </c>
      <c r="E95" s="22" t="s">
        <v>23</v>
      </c>
      <c r="F95" s="30" t="s">
        <v>973</v>
      </c>
      <c r="G95" s="30" t="s">
        <v>975</v>
      </c>
      <c r="H95" s="30">
        <v>25</v>
      </c>
      <c r="I95" s="30">
        <v>3</v>
      </c>
      <c r="J95" s="30" t="s">
        <v>1129</v>
      </c>
      <c r="K95" s="54" t="s">
        <v>980</v>
      </c>
      <c r="L95" s="57" t="s">
        <v>981</v>
      </c>
      <c r="M95" s="57">
        <v>20</v>
      </c>
      <c r="N95" s="57">
        <v>3</v>
      </c>
      <c r="O95" s="57" t="s">
        <v>1129</v>
      </c>
      <c r="P95" s="57" t="s">
        <v>986</v>
      </c>
      <c r="Q95" s="57" t="s">
        <v>987</v>
      </c>
      <c r="R95" s="57">
        <v>20</v>
      </c>
      <c r="S95" s="57">
        <v>3</v>
      </c>
      <c r="T95" s="57" t="s">
        <v>1129</v>
      </c>
      <c r="U95" s="57" t="s">
        <v>497</v>
      </c>
      <c r="V95" s="57" t="s">
        <v>498</v>
      </c>
      <c r="W95" s="57">
        <v>20</v>
      </c>
      <c r="X95" s="57">
        <v>3</v>
      </c>
      <c r="Y95" s="57" t="s">
        <v>1125</v>
      </c>
      <c r="Z95" s="57" t="s">
        <v>544</v>
      </c>
      <c r="AA95" s="57" t="s">
        <v>546</v>
      </c>
      <c r="AB95" s="57">
        <v>15</v>
      </c>
      <c r="AC95" s="57">
        <v>3</v>
      </c>
      <c r="AD95" s="57" t="s">
        <v>1126</v>
      </c>
      <c r="AE95" s="57">
        <f t="shared" si="1"/>
        <v>100</v>
      </c>
      <c r="AF95" s="58" t="s">
        <v>386</v>
      </c>
    </row>
    <row r="96" spans="2:32" ht="30" customHeight="1">
      <c r="B96" s="21" t="s">
        <v>354</v>
      </c>
      <c r="C96" s="22" t="s">
        <v>355</v>
      </c>
      <c r="D96" s="22" t="s">
        <v>337</v>
      </c>
      <c r="E96" s="22" t="s">
        <v>23</v>
      </c>
      <c r="F96" s="30" t="s">
        <v>973</v>
      </c>
      <c r="G96" s="30" t="s">
        <v>975</v>
      </c>
      <c r="H96" s="30">
        <v>25</v>
      </c>
      <c r="I96" s="30">
        <v>3</v>
      </c>
      <c r="J96" s="30" t="s">
        <v>1129</v>
      </c>
      <c r="K96" s="54" t="s">
        <v>980</v>
      </c>
      <c r="L96" s="55" t="s">
        <v>981</v>
      </c>
      <c r="M96" s="55">
        <v>20</v>
      </c>
      <c r="N96" s="55">
        <v>3</v>
      </c>
      <c r="O96" s="55" t="s">
        <v>1129</v>
      </c>
      <c r="P96" s="55" t="s">
        <v>986</v>
      </c>
      <c r="Q96" s="55" t="s">
        <v>987</v>
      </c>
      <c r="R96" s="55">
        <v>20</v>
      </c>
      <c r="S96" s="55">
        <v>3</v>
      </c>
      <c r="T96" s="55" t="s">
        <v>1129</v>
      </c>
      <c r="U96" s="55" t="s">
        <v>497</v>
      </c>
      <c r="V96" s="55" t="s">
        <v>498</v>
      </c>
      <c r="W96" s="55">
        <v>20</v>
      </c>
      <c r="X96" s="55">
        <v>3</v>
      </c>
      <c r="Y96" s="55" t="s">
        <v>1125</v>
      </c>
      <c r="Z96" s="55" t="s">
        <v>544</v>
      </c>
      <c r="AA96" s="55" t="s">
        <v>546</v>
      </c>
      <c r="AB96" s="55">
        <v>15</v>
      </c>
      <c r="AC96" s="55">
        <v>3</v>
      </c>
      <c r="AD96" s="55" t="s">
        <v>1126</v>
      </c>
      <c r="AE96" s="55">
        <f t="shared" si="1"/>
        <v>100</v>
      </c>
      <c r="AF96" s="56" t="s">
        <v>386</v>
      </c>
    </row>
    <row r="97" spans="2:32" ht="30" customHeight="1">
      <c r="B97" s="21" t="s">
        <v>357</v>
      </c>
      <c r="C97" s="22" t="s">
        <v>358</v>
      </c>
      <c r="D97" s="22" t="s">
        <v>337</v>
      </c>
      <c r="E97" s="22" t="s">
        <v>23</v>
      </c>
      <c r="F97" s="30" t="s">
        <v>973</v>
      </c>
      <c r="G97" s="30" t="s">
        <v>975</v>
      </c>
      <c r="H97" s="30">
        <v>25</v>
      </c>
      <c r="I97" s="30">
        <v>3</v>
      </c>
      <c r="J97" s="30" t="s">
        <v>1129</v>
      </c>
      <c r="K97" s="54" t="s">
        <v>980</v>
      </c>
      <c r="L97" s="57" t="s">
        <v>981</v>
      </c>
      <c r="M97" s="57">
        <v>20</v>
      </c>
      <c r="N97" s="57">
        <v>3</v>
      </c>
      <c r="O97" s="57" t="s">
        <v>1129</v>
      </c>
      <c r="P97" s="57" t="s">
        <v>986</v>
      </c>
      <c r="Q97" s="57" t="s">
        <v>987</v>
      </c>
      <c r="R97" s="57">
        <v>20</v>
      </c>
      <c r="S97" s="57">
        <v>3</v>
      </c>
      <c r="T97" s="57" t="s">
        <v>1129</v>
      </c>
      <c r="U97" s="57" t="s">
        <v>497</v>
      </c>
      <c r="V97" s="57" t="s">
        <v>498</v>
      </c>
      <c r="W97" s="57">
        <v>20</v>
      </c>
      <c r="X97" s="57">
        <v>3</v>
      </c>
      <c r="Y97" s="57" t="s">
        <v>1125</v>
      </c>
      <c r="Z97" s="57" t="s">
        <v>544</v>
      </c>
      <c r="AA97" s="57" t="s">
        <v>546</v>
      </c>
      <c r="AB97" s="57">
        <v>15</v>
      </c>
      <c r="AC97" s="57">
        <v>3</v>
      </c>
      <c r="AD97" s="57" t="s">
        <v>1126</v>
      </c>
      <c r="AE97" s="57">
        <f t="shared" si="1"/>
        <v>100</v>
      </c>
      <c r="AF97" s="58" t="s">
        <v>386</v>
      </c>
    </row>
    <row r="98" spans="2:32" ht="30" customHeight="1">
      <c r="B98" s="21" t="s">
        <v>361</v>
      </c>
      <c r="C98" s="22" t="s">
        <v>362</v>
      </c>
      <c r="D98" s="22" t="s">
        <v>362</v>
      </c>
      <c r="E98" s="22" t="s">
        <v>32</v>
      </c>
      <c r="F98" s="30" t="s">
        <v>392</v>
      </c>
      <c r="G98" s="30" t="s">
        <v>395</v>
      </c>
      <c r="H98" s="30">
        <v>25</v>
      </c>
      <c r="I98" s="30">
        <v>4</v>
      </c>
      <c r="J98" s="30" t="s">
        <v>1125</v>
      </c>
      <c r="K98" s="54" t="s">
        <v>518</v>
      </c>
      <c r="L98" s="55" t="s">
        <v>521</v>
      </c>
      <c r="M98" s="55">
        <v>20</v>
      </c>
      <c r="N98" s="55">
        <v>4</v>
      </c>
      <c r="O98" s="55" t="s">
        <v>1126</v>
      </c>
      <c r="P98" s="55" t="s">
        <v>468</v>
      </c>
      <c r="Q98" s="55" t="s">
        <v>470</v>
      </c>
      <c r="R98" s="55">
        <v>20</v>
      </c>
      <c r="S98" s="55">
        <v>4</v>
      </c>
      <c r="T98" s="55" t="s">
        <v>1125</v>
      </c>
      <c r="U98" s="55" t="s">
        <v>598</v>
      </c>
      <c r="V98" s="55" t="s">
        <v>599</v>
      </c>
      <c r="W98" s="55">
        <v>20</v>
      </c>
      <c r="X98" s="55">
        <v>4</v>
      </c>
      <c r="Y98" s="55" t="s">
        <v>1126</v>
      </c>
      <c r="Z98" s="55" t="s">
        <v>775</v>
      </c>
      <c r="AA98" s="55" t="s">
        <v>776</v>
      </c>
      <c r="AB98" s="55">
        <v>15</v>
      </c>
      <c r="AC98" s="55">
        <v>4</v>
      </c>
      <c r="AD98" s="55" t="s">
        <v>1127</v>
      </c>
      <c r="AE98" s="55">
        <f t="shared" si="1"/>
        <v>100</v>
      </c>
      <c r="AF98" s="56" t="s">
        <v>386</v>
      </c>
    </row>
    <row r="99" spans="2:32" ht="30" customHeight="1">
      <c r="B99" s="21" t="s">
        <v>365</v>
      </c>
      <c r="C99" s="22" t="s">
        <v>366</v>
      </c>
      <c r="D99" s="22" t="s">
        <v>362</v>
      </c>
      <c r="E99" s="22" t="s">
        <v>32</v>
      </c>
      <c r="F99" s="30" t="s">
        <v>392</v>
      </c>
      <c r="G99" s="30" t="s">
        <v>395</v>
      </c>
      <c r="H99" s="30">
        <v>25</v>
      </c>
      <c r="I99" s="30">
        <v>3</v>
      </c>
      <c r="J99" s="30" t="s">
        <v>1125</v>
      </c>
      <c r="K99" s="54" t="s">
        <v>518</v>
      </c>
      <c r="L99" s="57" t="s">
        <v>521</v>
      </c>
      <c r="M99" s="57">
        <v>20</v>
      </c>
      <c r="N99" s="57">
        <v>3</v>
      </c>
      <c r="O99" s="57" t="s">
        <v>1126</v>
      </c>
      <c r="P99" s="57" t="s">
        <v>468</v>
      </c>
      <c r="Q99" s="57" t="s">
        <v>470</v>
      </c>
      <c r="R99" s="57">
        <v>20</v>
      </c>
      <c r="S99" s="57">
        <v>3</v>
      </c>
      <c r="T99" s="57" t="s">
        <v>1125</v>
      </c>
      <c r="U99" s="57" t="s">
        <v>598</v>
      </c>
      <c r="V99" s="57" t="s">
        <v>599</v>
      </c>
      <c r="W99" s="57">
        <v>20</v>
      </c>
      <c r="X99" s="57">
        <v>3</v>
      </c>
      <c r="Y99" s="57" t="s">
        <v>1126</v>
      </c>
      <c r="Z99" s="57" t="s">
        <v>775</v>
      </c>
      <c r="AA99" s="57" t="s">
        <v>776</v>
      </c>
      <c r="AB99" s="57">
        <v>15</v>
      </c>
      <c r="AC99" s="57">
        <v>3</v>
      </c>
      <c r="AD99" s="57" t="s">
        <v>1127</v>
      </c>
      <c r="AE99" s="57">
        <f t="shared" si="1"/>
        <v>100</v>
      </c>
      <c r="AF99" s="58" t="s">
        <v>386</v>
      </c>
    </row>
    <row r="100" spans="2:32" ht="30" customHeight="1">
      <c r="B100" s="21" t="s">
        <v>369</v>
      </c>
      <c r="C100" s="22" t="s">
        <v>370</v>
      </c>
      <c r="D100" s="22" t="s">
        <v>362</v>
      </c>
      <c r="E100" s="22" t="s">
        <v>32</v>
      </c>
      <c r="F100" s="30" t="s">
        <v>392</v>
      </c>
      <c r="G100" s="30" t="s">
        <v>395</v>
      </c>
      <c r="H100" s="30">
        <v>25</v>
      </c>
      <c r="I100" s="30">
        <v>3</v>
      </c>
      <c r="J100" s="30" t="s">
        <v>1125</v>
      </c>
      <c r="K100" s="54" t="s">
        <v>518</v>
      </c>
      <c r="L100" s="55" t="s">
        <v>521</v>
      </c>
      <c r="M100" s="55">
        <v>20</v>
      </c>
      <c r="N100" s="55">
        <v>3</v>
      </c>
      <c r="O100" s="55" t="s">
        <v>1126</v>
      </c>
      <c r="P100" s="55" t="s">
        <v>468</v>
      </c>
      <c r="Q100" s="55" t="s">
        <v>470</v>
      </c>
      <c r="R100" s="55">
        <v>20</v>
      </c>
      <c r="S100" s="55">
        <v>3</v>
      </c>
      <c r="T100" s="55" t="s">
        <v>1125</v>
      </c>
      <c r="U100" s="55" t="s">
        <v>598</v>
      </c>
      <c r="V100" s="55" t="s">
        <v>599</v>
      </c>
      <c r="W100" s="55">
        <v>20</v>
      </c>
      <c r="X100" s="55">
        <v>3</v>
      </c>
      <c r="Y100" s="55" t="s">
        <v>1126</v>
      </c>
      <c r="Z100" s="55" t="s">
        <v>775</v>
      </c>
      <c r="AA100" s="55" t="s">
        <v>776</v>
      </c>
      <c r="AB100" s="55">
        <v>15</v>
      </c>
      <c r="AC100" s="55">
        <v>3</v>
      </c>
      <c r="AD100" s="55" t="s">
        <v>1127</v>
      </c>
      <c r="AE100" s="55">
        <f t="shared" si="1"/>
        <v>100</v>
      </c>
      <c r="AF100" s="56" t="s">
        <v>386</v>
      </c>
    </row>
    <row r="101" spans="2:32" ht="30" customHeight="1">
      <c r="B101" s="21" t="s">
        <v>373</v>
      </c>
      <c r="C101" s="22" t="s">
        <v>374</v>
      </c>
      <c r="D101" s="22" t="s">
        <v>362</v>
      </c>
      <c r="E101" s="22" t="s">
        <v>32</v>
      </c>
      <c r="F101" s="30" t="s">
        <v>392</v>
      </c>
      <c r="G101" s="30" t="s">
        <v>395</v>
      </c>
      <c r="H101" s="30">
        <v>25</v>
      </c>
      <c r="I101" s="30">
        <v>3</v>
      </c>
      <c r="J101" s="30" t="s">
        <v>1125</v>
      </c>
      <c r="K101" s="54" t="s">
        <v>518</v>
      </c>
      <c r="L101" s="57" t="s">
        <v>521</v>
      </c>
      <c r="M101" s="57">
        <v>20</v>
      </c>
      <c r="N101" s="57">
        <v>3</v>
      </c>
      <c r="O101" s="57" t="s">
        <v>1126</v>
      </c>
      <c r="P101" s="57" t="s">
        <v>468</v>
      </c>
      <c r="Q101" s="57" t="s">
        <v>470</v>
      </c>
      <c r="R101" s="57">
        <v>20</v>
      </c>
      <c r="S101" s="57">
        <v>3</v>
      </c>
      <c r="T101" s="57" t="s">
        <v>1125</v>
      </c>
      <c r="U101" s="57" t="s">
        <v>598</v>
      </c>
      <c r="V101" s="57" t="s">
        <v>599</v>
      </c>
      <c r="W101" s="57">
        <v>20</v>
      </c>
      <c r="X101" s="57">
        <v>3</v>
      </c>
      <c r="Y101" s="57" t="s">
        <v>1126</v>
      </c>
      <c r="Z101" s="57" t="s">
        <v>775</v>
      </c>
      <c r="AA101" s="57" t="s">
        <v>776</v>
      </c>
      <c r="AB101" s="57">
        <v>15</v>
      </c>
      <c r="AC101" s="57">
        <v>3</v>
      </c>
      <c r="AD101" s="57" t="s">
        <v>1127</v>
      </c>
      <c r="AE101" s="57">
        <f t="shared" si="1"/>
        <v>100</v>
      </c>
      <c r="AF101" s="58" t="s">
        <v>386</v>
      </c>
    </row>
    <row r="102" spans="2:32" ht="30" customHeight="1">
      <c r="B102" s="21" t="s">
        <v>377</v>
      </c>
      <c r="C102" s="22" t="s">
        <v>378</v>
      </c>
      <c r="D102" s="22" t="s">
        <v>362</v>
      </c>
      <c r="E102" s="22" t="s">
        <v>32</v>
      </c>
      <c r="F102" s="30" t="s">
        <v>961</v>
      </c>
      <c r="G102" s="30" t="s">
        <v>962</v>
      </c>
      <c r="H102" s="30">
        <v>25</v>
      </c>
      <c r="I102" s="30">
        <v>3</v>
      </c>
      <c r="J102" s="30" t="s">
        <v>1130</v>
      </c>
      <c r="K102" s="54" t="s">
        <v>518</v>
      </c>
      <c r="L102" s="55" t="s">
        <v>521</v>
      </c>
      <c r="M102" s="55">
        <v>20</v>
      </c>
      <c r="N102" s="55">
        <v>3</v>
      </c>
      <c r="O102" s="55" t="s">
        <v>1126</v>
      </c>
      <c r="P102" s="55" t="s">
        <v>720</v>
      </c>
      <c r="Q102" s="55" t="s">
        <v>722</v>
      </c>
      <c r="R102" s="55">
        <v>20</v>
      </c>
      <c r="S102" s="55">
        <v>3</v>
      </c>
      <c r="T102" s="55" t="s">
        <v>1129</v>
      </c>
      <c r="U102" s="55" t="s">
        <v>768</v>
      </c>
      <c r="V102" s="55" t="s">
        <v>769</v>
      </c>
      <c r="W102" s="55">
        <v>20</v>
      </c>
      <c r="X102" s="55">
        <v>3</v>
      </c>
      <c r="Y102" s="55" t="s">
        <v>1127</v>
      </c>
      <c r="Z102" s="55" t="s">
        <v>607</v>
      </c>
      <c r="AA102" s="55" t="s">
        <v>608</v>
      </c>
      <c r="AB102" s="55">
        <v>15</v>
      </c>
      <c r="AC102" s="55">
        <v>3</v>
      </c>
      <c r="AD102" s="55" t="s">
        <v>1126</v>
      </c>
      <c r="AE102" s="55">
        <f t="shared" si="1"/>
        <v>100</v>
      </c>
      <c r="AF102" s="56" t="s">
        <v>386</v>
      </c>
    </row>
    <row r="103" spans="2:32" ht="30" customHeight="1" thickBot="1">
      <c r="B103" s="60" t="s">
        <v>381</v>
      </c>
      <c r="C103" s="40" t="s">
        <v>382</v>
      </c>
      <c r="D103" s="40" t="s">
        <v>362</v>
      </c>
      <c r="E103" s="40" t="s">
        <v>32</v>
      </c>
      <c r="F103" s="30" t="s">
        <v>1073</v>
      </c>
      <c r="G103" s="30" t="s">
        <v>1075</v>
      </c>
      <c r="H103" s="30">
        <v>25</v>
      </c>
      <c r="I103" s="30">
        <v>3</v>
      </c>
      <c r="J103" s="30" t="s">
        <v>1130</v>
      </c>
      <c r="K103" s="61" t="s">
        <v>1077</v>
      </c>
      <c r="L103" s="62" t="s">
        <v>1078</v>
      </c>
      <c r="M103" s="62">
        <v>20</v>
      </c>
      <c r="N103" s="62">
        <v>3</v>
      </c>
      <c r="O103" s="62" t="s">
        <v>1130</v>
      </c>
      <c r="P103" s="62" t="s">
        <v>1080</v>
      </c>
      <c r="Q103" s="62" t="s">
        <v>1081</v>
      </c>
      <c r="R103" s="62">
        <v>20</v>
      </c>
      <c r="S103" s="62">
        <v>3</v>
      </c>
      <c r="T103" s="62" t="s">
        <v>1130</v>
      </c>
      <c r="U103" s="62" t="s">
        <v>610</v>
      </c>
      <c r="V103" s="62" t="s">
        <v>611</v>
      </c>
      <c r="W103" s="62">
        <v>20</v>
      </c>
      <c r="X103" s="62">
        <v>3</v>
      </c>
      <c r="Y103" s="62" t="s">
        <v>1126</v>
      </c>
      <c r="Z103" s="62" t="s">
        <v>907</v>
      </c>
      <c r="AA103" s="62" t="s">
        <v>908</v>
      </c>
      <c r="AB103" s="62">
        <v>15</v>
      </c>
      <c r="AC103" s="62">
        <v>3</v>
      </c>
      <c r="AD103" s="62" t="s">
        <v>1128</v>
      </c>
      <c r="AE103" s="62">
        <f t="shared" si="1"/>
        <v>100</v>
      </c>
      <c r="AF103" s="63" t="s">
        <v>386</v>
      </c>
    </row>
  </sheetData>
  <dataValidations count="3">
    <dataValidation type="list" sqref="J3:J103 O3:O103 T3:T103 Y3:Y103 AD3:AD103" xr:uid="{6A9134F8-75DF-4333-B61F-4D6BAEEB8FE5}">
      <formula1>"Test + Vaka,Senaryo + Vaka,Senaryo + Vaka + 360°,Test + Uygulama,Davranış Envanteri + Senaryo,Test + Senaryo"</formula1>
    </dataValidation>
    <dataValidation type="whole" sqref="H3:H103 M3:M103 R3:R103 W3:W103 AB3:AB103" xr:uid="{5A8CA218-C3D9-44D3-B650-0E578AD05922}">
      <formula1>0</formula1>
      <formula2>100</formula2>
    </dataValidation>
    <dataValidation type="whole" sqref="I3:I103 N3:N103 S3:S103 X3:X103 AC3:AC103" xr:uid="{1C1C1F45-5D09-4894-B2AB-880D529FEDF3}">
      <formula1>1</formula1>
      <formula2>5</formula2>
    </dataValidation>
  </dataValidation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226"/>
  <sheetViews>
    <sheetView workbookViewId="0">
      <pane ySplit="2" topLeftCell="A3" activePane="bottomLeft" state="frozen"/>
      <selection pane="bottomLeft" activeCell="F12" sqref="F12"/>
    </sheetView>
  </sheetViews>
  <sheetFormatPr defaultRowHeight="15.5"/>
  <cols>
    <col min="1" max="1" width="1.58203125" style="30" customWidth="1"/>
    <col min="2" max="2" width="13.08203125" style="32" bestFit="1" customWidth="1"/>
    <col min="3" max="3" width="11.75" style="32" bestFit="1" customWidth="1"/>
    <col min="4" max="4" width="13.9140625" style="32" bestFit="1" customWidth="1"/>
    <col min="5" max="5" width="28.1640625" style="32" bestFit="1" customWidth="1"/>
    <col min="6" max="6" width="49.08203125" style="32" bestFit="1" customWidth="1"/>
    <col min="7" max="16384" width="8.6640625" style="32"/>
  </cols>
  <sheetData>
    <row r="1" spans="2:6" s="30" customFormat="1"/>
    <row r="2" spans="2:6" ht="16" thickBot="1">
      <c r="B2" s="47" t="s">
        <v>387</v>
      </c>
      <c r="C2" s="47" t="s">
        <v>388</v>
      </c>
      <c r="D2" s="47" t="s">
        <v>389</v>
      </c>
      <c r="E2" s="47" t="s">
        <v>390</v>
      </c>
      <c r="F2" s="47" t="s">
        <v>391</v>
      </c>
    </row>
    <row r="3" spans="2:6" ht="20" customHeight="1">
      <c r="B3" s="46" t="s">
        <v>392</v>
      </c>
      <c r="C3" s="34" t="s">
        <v>393</v>
      </c>
      <c r="D3" s="34" t="s">
        <v>394</v>
      </c>
      <c r="E3" s="34" t="s">
        <v>395</v>
      </c>
      <c r="F3" s="36" t="s">
        <v>396</v>
      </c>
    </row>
    <row r="4" spans="2:6" ht="20" customHeight="1">
      <c r="B4" s="24" t="s">
        <v>397</v>
      </c>
      <c r="C4" s="25" t="s">
        <v>393</v>
      </c>
      <c r="D4" s="25" t="s">
        <v>394</v>
      </c>
      <c r="E4" s="25" t="s">
        <v>398</v>
      </c>
      <c r="F4" s="26" t="s">
        <v>399</v>
      </c>
    </row>
    <row r="5" spans="2:6" ht="20" customHeight="1">
      <c r="B5" s="21" t="s">
        <v>400</v>
      </c>
      <c r="C5" s="22" t="s">
        <v>393</v>
      </c>
      <c r="D5" s="22" t="s">
        <v>394</v>
      </c>
      <c r="E5" s="22" t="s">
        <v>401</v>
      </c>
      <c r="F5" s="23" t="s">
        <v>402</v>
      </c>
    </row>
    <row r="6" spans="2:6" ht="20" customHeight="1">
      <c r="B6" s="24" t="s">
        <v>403</v>
      </c>
      <c r="C6" s="25" t="s">
        <v>393</v>
      </c>
      <c r="D6" s="25" t="s">
        <v>394</v>
      </c>
      <c r="E6" s="25" t="s">
        <v>404</v>
      </c>
      <c r="F6" s="26" t="s">
        <v>405</v>
      </c>
    </row>
    <row r="7" spans="2:6" ht="20" customHeight="1">
      <c r="B7" s="21" t="s">
        <v>406</v>
      </c>
      <c r="C7" s="22" t="s">
        <v>393</v>
      </c>
      <c r="D7" s="22" t="s">
        <v>394</v>
      </c>
      <c r="E7" s="22" t="s">
        <v>407</v>
      </c>
      <c r="F7" s="23" t="s">
        <v>408</v>
      </c>
    </row>
    <row r="8" spans="2:6" ht="20" customHeight="1">
      <c r="B8" s="24" t="s">
        <v>409</v>
      </c>
      <c r="C8" s="25" t="s">
        <v>393</v>
      </c>
      <c r="D8" s="25" t="s">
        <v>394</v>
      </c>
      <c r="E8" s="25" t="s">
        <v>410</v>
      </c>
      <c r="F8" s="26" t="s">
        <v>411</v>
      </c>
    </row>
    <row r="9" spans="2:6" ht="20" customHeight="1">
      <c r="B9" s="21" t="s">
        <v>412</v>
      </c>
      <c r="C9" s="22" t="s">
        <v>393</v>
      </c>
      <c r="D9" s="22" t="s">
        <v>394</v>
      </c>
      <c r="E9" s="22" t="s">
        <v>413</v>
      </c>
      <c r="F9" s="23" t="s">
        <v>414</v>
      </c>
    </row>
    <row r="10" spans="2:6" ht="20" customHeight="1">
      <c r="B10" s="24" t="s">
        <v>415</v>
      </c>
      <c r="C10" s="25" t="s">
        <v>393</v>
      </c>
      <c r="D10" s="25" t="s">
        <v>394</v>
      </c>
      <c r="E10" s="25" t="s">
        <v>416</v>
      </c>
      <c r="F10" s="26" t="s">
        <v>417</v>
      </c>
    </row>
    <row r="11" spans="2:6" ht="20" customHeight="1">
      <c r="B11" s="21" t="s">
        <v>418</v>
      </c>
      <c r="C11" s="22" t="s">
        <v>393</v>
      </c>
      <c r="D11" s="22" t="s">
        <v>419</v>
      </c>
      <c r="E11" s="22" t="s">
        <v>420</v>
      </c>
      <c r="F11" s="23" t="s">
        <v>421</v>
      </c>
    </row>
    <row r="12" spans="2:6" ht="20" customHeight="1">
      <c r="B12" s="24" t="s">
        <v>422</v>
      </c>
      <c r="C12" s="25" t="s">
        <v>393</v>
      </c>
      <c r="D12" s="25" t="s">
        <v>419</v>
      </c>
      <c r="E12" s="25" t="s">
        <v>423</v>
      </c>
      <c r="F12" s="26" t="s">
        <v>424</v>
      </c>
    </row>
    <row r="13" spans="2:6" ht="20" customHeight="1">
      <c r="B13" s="21" t="s">
        <v>425</v>
      </c>
      <c r="C13" s="22" t="s">
        <v>393</v>
      </c>
      <c r="D13" s="22" t="s">
        <v>419</v>
      </c>
      <c r="E13" s="22" t="s">
        <v>426</v>
      </c>
      <c r="F13" s="23" t="s">
        <v>427</v>
      </c>
    </row>
    <row r="14" spans="2:6" ht="20" customHeight="1">
      <c r="B14" s="24" t="s">
        <v>428</v>
      </c>
      <c r="C14" s="25" t="s">
        <v>393</v>
      </c>
      <c r="D14" s="25" t="s">
        <v>419</v>
      </c>
      <c r="E14" s="25" t="s">
        <v>429</v>
      </c>
      <c r="F14" s="26" t="s">
        <v>430</v>
      </c>
    </row>
    <row r="15" spans="2:6" ht="20" customHeight="1">
      <c r="B15" s="21" t="s">
        <v>431</v>
      </c>
      <c r="C15" s="22" t="s">
        <v>393</v>
      </c>
      <c r="D15" s="22" t="s">
        <v>419</v>
      </c>
      <c r="E15" s="22" t="s">
        <v>432</v>
      </c>
      <c r="F15" s="23" t="s">
        <v>433</v>
      </c>
    </row>
    <row r="16" spans="2:6" ht="20" customHeight="1">
      <c r="B16" s="24" t="s">
        <v>434</v>
      </c>
      <c r="C16" s="25" t="s">
        <v>393</v>
      </c>
      <c r="D16" s="25" t="s">
        <v>419</v>
      </c>
      <c r="E16" s="25" t="s">
        <v>435</v>
      </c>
      <c r="F16" s="26" t="s">
        <v>436</v>
      </c>
    </row>
    <row r="17" spans="2:6" ht="20" customHeight="1">
      <c r="B17" s="21" t="s">
        <v>437</v>
      </c>
      <c r="C17" s="22" t="s">
        <v>393</v>
      </c>
      <c r="D17" s="22" t="s">
        <v>419</v>
      </c>
      <c r="E17" s="22" t="s">
        <v>438</v>
      </c>
      <c r="F17" s="23" t="s">
        <v>439</v>
      </c>
    </row>
    <row r="18" spans="2:6" ht="20" customHeight="1">
      <c r="B18" s="24" t="s">
        <v>440</v>
      </c>
      <c r="C18" s="25" t="s">
        <v>393</v>
      </c>
      <c r="D18" s="25" t="s">
        <v>419</v>
      </c>
      <c r="E18" s="25" t="s">
        <v>441</v>
      </c>
      <c r="F18" s="26" t="s">
        <v>442</v>
      </c>
    </row>
    <row r="19" spans="2:6" ht="20" customHeight="1">
      <c r="B19" s="21" t="s">
        <v>443</v>
      </c>
      <c r="C19" s="22" t="s">
        <v>393</v>
      </c>
      <c r="D19" s="22" t="s">
        <v>444</v>
      </c>
      <c r="E19" s="22" t="s">
        <v>445</v>
      </c>
      <c r="F19" s="23" t="s">
        <v>446</v>
      </c>
    </row>
    <row r="20" spans="2:6" ht="20" customHeight="1">
      <c r="B20" s="24" t="s">
        <v>447</v>
      </c>
      <c r="C20" s="25" t="s">
        <v>393</v>
      </c>
      <c r="D20" s="25" t="s">
        <v>444</v>
      </c>
      <c r="E20" s="25" t="s">
        <v>448</v>
      </c>
      <c r="F20" s="26" t="s">
        <v>449</v>
      </c>
    </row>
    <row r="21" spans="2:6" ht="20" customHeight="1">
      <c r="B21" s="21" t="s">
        <v>450</v>
      </c>
      <c r="C21" s="22" t="s">
        <v>393</v>
      </c>
      <c r="D21" s="22" t="s">
        <v>444</v>
      </c>
      <c r="E21" s="22" t="s">
        <v>451</v>
      </c>
      <c r="F21" s="23" t="s">
        <v>452</v>
      </c>
    </row>
    <row r="22" spans="2:6" ht="20" customHeight="1">
      <c r="B22" s="24" t="s">
        <v>453</v>
      </c>
      <c r="C22" s="25" t="s">
        <v>393</v>
      </c>
      <c r="D22" s="25" t="s">
        <v>444</v>
      </c>
      <c r="E22" s="25" t="s">
        <v>454</v>
      </c>
      <c r="F22" s="26" t="s">
        <v>455</v>
      </c>
    </row>
    <row r="23" spans="2:6" ht="20" customHeight="1">
      <c r="B23" s="21" t="s">
        <v>456</v>
      </c>
      <c r="C23" s="22" t="s">
        <v>393</v>
      </c>
      <c r="D23" s="22" t="s">
        <v>444</v>
      </c>
      <c r="E23" s="22" t="s">
        <v>457</v>
      </c>
      <c r="F23" s="23" t="s">
        <v>458</v>
      </c>
    </row>
    <row r="24" spans="2:6" ht="20" customHeight="1">
      <c r="B24" s="24" t="s">
        <v>459</v>
      </c>
      <c r="C24" s="25" t="s">
        <v>393</v>
      </c>
      <c r="D24" s="25" t="s">
        <v>444</v>
      </c>
      <c r="E24" s="25" t="s">
        <v>460</v>
      </c>
      <c r="F24" s="26" t="s">
        <v>461</v>
      </c>
    </row>
    <row r="25" spans="2:6" ht="20" customHeight="1">
      <c r="B25" s="21" t="s">
        <v>462</v>
      </c>
      <c r="C25" s="22" t="s">
        <v>393</v>
      </c>
      <c r="D25" s="22" t="s">
        <v>444</v>
      </c>
      <c r="E25" s="22" t="s">
        <v>463</v>
      </c>
      <c r="F25" s="23" t="s">
        <v>464</v>
      </c>
    </row>
    <row r="26" spans="2:6" ht="20" customHeight="1">
      <c r="B26" s="24" t="s">
        <v>465</v>
      </c>
      <c r="C26" s="25" t="s">
        <v>393</v>
      </c>
      <c r="D26" s="25" t="s">
        <v>444</v>
      </c>
      <c r="E26" s="25" t="s">
        <v>466</v>
      </c>
      <c r="F26" s="26" t="s">
        <v>467</v>
      </c>
    </row>
    <row r="27" spans="2:6" ht="20" customHeight="1">
      <c r="B27" s="21" t="s">
        <v>468</v>
      </c>
      <c r="C27" s="22" t="s">
        <v>393</v>
      </c>
      <c r="D27" s="22" t="s">
        <v>469</v>
      </c>
      <c r="E27" s="22" t="s">
        <v>470</v>
      </c>
      <c r="F27" s="23" t="s">
        <v>471</v>
      </c>
    </row>
    <row r="28" spans="2:6" ht="20" customHeight="1">
      <c r="B28" s="24" t="s">
        <v>472</v>
      </c>
      <c r="C28" s="25" t="s">
        <v>393</v>
      </c>
      <c r="D28" s="25" t="s">
        <v>469</v>
      </c>
      <c r="E28" s="25" t="s">
        <v>473</v>
      </c>
      <c r="F28" s="26" t="s">
        <v>474</v>
      </c>
    </row>
    <row r="29" spans="2:6" ht="20" customHeight="1">
      <c r="B29" s="21" t="s">
        <v>475</v>
      </c>
      <c r="C29" s="22" t="s">
        <v>393</v>
      </c>
      <c r="D29" s="22" t="s">
        <v>469</v>
      </c>
      <c r="E29" s="22" t="s">
        <v>476</v>
      </c>
      <c r="F29" s="23" t="s">
        <v>477</v>
      </c>
    </row>
    <row r="30" spans="2:6" ht="20" customHeight="1">
      <c r="B30" s="24" t="s">
        <v>478</v>
      </c>
      <c r="C30" s="25" t="s">
        <v>393</v>
      </c>
      <c r="D30" s="25" t="s">
        <v>469</v>
      </c>
      <c r="E30" s="25" t="s">
        <v>479</v>
      </c>
      <c r="F30" s="26" t="s">
        <v>480</v>
      </c>
    </row>
    <row r="31" spans="2:6" ht="20" customHeight="1">
      <c r="B31" s="21" t="s">
        <v>481</v>
      </c>
      <c r="C31" s="22" t="s">
        <v>393</v>
      </c>
      <c r="D31" s="22" t="s">
        <v>469</v>
      </c>
      <c r="E31" s="22" t="s">
        <v>482</v>
      </c>
      <c r="F31" s="23" t="s">
        <v>483</v>
      </c>
    </row>
    <row r="32" spans="2:6" ht="20" customHeight="1">
      <c r="B32" s="24" t="s">
        <v>484</v>
      </c>
      <c r="C32" s="25" t="s">
        <v>393</v>
      </c>
      <c r="D32" s="25" t="s">
        <v>469</v>
      </c>
      <c r="E32" s="25" t="s">
        <v>485</v>
      </c>
      <c r="F32" s="26" t="s">
        <v>486</v>
      </c>
    </row>
    <row r="33" spans="2:6" ht="20" customHeight="1">
      <c r="B33" s="21" t="s">
        <v>487</v>
      </c>
      <c r="C33" s="22" t="s">
        <v>393</v>
      </c>
      <c r="D33" s="22" t="s">
        <v>469</v>
      </c>
      <c r="E33" s="22" t="s">
        <v>488</v>
      </c>
      <c r="F33" s="23" t="s">
        <v>489</v>
      </c>
    </row>
    <row r="34" spans="2:6" ht="20" customHeight="1">
      <c r="B34" s="24" t="s">
        <v>490</v>
      </c>
      <c r="C34" s="25" t="s">
        <v>393</v>
      </c>
      <c r="D34" s="25" t="s">
        <v>469</v>
      </c>
      <c r="E34" s="25" t="s">
        <v>491</v>
      </c>
      <c r="F34" s="26" t="s">
        <v>492</v>
      </c>
    </row>
    <row r="35" spans="2:6" ht="20" customHeight="1">
      <c r="B35" s="21" t="s">
        <v>493</v>
      </c>
      <c r="C35" s="22" t="s">
        <v>393</v>
      </c>
      <c r="D35" s="22" t="s">
        <v>494</v>
      </c>
      <c r="E35" s="22" t="s">
        <v>495</v>
      </c>
      <c r="F35" s="23" t="s">
        <v>496</v>
      </c>
    </row>
    <row r="36" spans="2:6" ht="20" customHeight="1">
      <c r="B36" s="24" t="s">
        <v>497</v>
      </c>
      <c r="C36" s="25" t="s">
        <v>393</v>
      </c>
      <c r="D36" s="25" t="s">
        <v>494</v>
      </c>
      <c r="E36" s="25" t="s">
        <v>498</v>
      </c>
      <c r="F36" s="26" t="s">
        <v>499</v>
      </c>
    </row>
    <row r="37" spans="2:6" ht="20" customHeight="1">
      <c r="B37" s="21" t="s">
        <v>500</v>
      </c>
      <c r="C37" s="22" t="s">
        <v>393</v>
      </c>
      <c r="D37" s="22" t="s">
        <v>494</v>
      </c>
      <c r="E37" s="22" t="s">
        <v>501</v>
      </c>
      <c r="F37" s="23" t="s">
        <v>502</v>
      </c>
    </row>
    <row r="38" spans="2:6" ht="20" customHeight="1">
      <c r="B38" s="24" t="s">
        <v>503</v>
      </c>
      <c r="C38" s="25" t="s">
        <v>393</v>
      </c>
      <c r="D38" s="25" t="s">
        <v>494</v>
      </c>
      <c r="E38" s="25" t="s">
        <v>504</v>
      </c>
      <c r="F38" s="26" t="s">
        <v>505</v>
      </c>
    </row>
    <row r="39" spans="2:6" ht="20" customHeight="1">
      <c r="B39" s="21" t="s">
        <v>506</v>
      </c>
      <c r="C39" s="22" t="s">
        <v>393</v>
      </c>
      <c r="D39" s="22" t="s">
        <v>494</v>
      </c>
      <c r="E39" s="22" t="s">
        <v>507</v>
      </c>
      <c r="F39" s="23" t="s">
        <v>508</v>
      </c>
    </row>
    <row r="40" spans="2:6" ht="20" customHeight="1">
      <c r="B40" s="24" t="s">
        <v>509</v>
      </c>
      <c r="C40" s="25" t="s">
        <v>393</v>
      </c>
      <c r="D40" s="25" t="s">
        <v>494</v>
      </c>
      <c r="E40" s="25" t="s">
        <v>510</v>
      </c>
      <c r="F40" s="26" t="s">
        <v>511</v>
      </c>
    </row>
    <row r="41" spans="2:6" ht="20" customHeight="1">
      <c r="B41" s="21" t="s">
        <v>512</v>
      </c>
      <c r="C41" s="22" t="s">
        <v>393</v>
      </c>
      <c r="D41" s="22" t="s">
        <v>494</v>
      </c>
      <c r="E41" s="22" t="s">
        <v>513</v>
      </c>
      <c r="F41" s="23" t="s">
        <v>514</v>
      </c>
    </row>
    <row r="42" spans="2:6" ht="20" customHeight="1">
      <c r="B42" s="24" t="s">
        <v>515</v>
      </c>
      <c r="C42" s="25" t="s">
        <v>393</v>
      </c>
      <c r="D42" s="25" t="s">
        <v>494</v>
      </c>
      <c r="E42" s="25" t="s">
        <v>516</v>
      </c>
      <c r="F42" s="26" t="s">
        <v>517</v>
      </c>
    </row>
    <row r="43" spans="2:6" ht="20" customHeight="1">
      <c r="B43" s="21" t="s">
        <v>518</v>
      </c>
      <c r="C43" s="22" t="s">
        <v>519</v>
      </c>
      <c r="D43" s="22" t="s">
        <v>520</v>
      </c>
      <c r="E43" s="22" t="s">
        <v>521</v>
      </c>
      <c r="F43" s="23" t="s">
        <v>522</v>
      </c>
    </row>
    <row r="44" spans="2:6" ht="20" customHeight="1">
      <c r="B44" s="24" t="s">
        <v>523</v>
      </c>
      <c r="C44" s="25" t="s">
        <v>519</v>
      </c>
      <c r="D44" s="25" t="s">
        <v>520</v>
      </c>
      <c r="E44" s="25" t="s">
        <v>524</v>
      </c>
      <c r="F44" s="26" t="s">
        <v>525</v>
      </c>
    </row>
    <row r="45" spans="2:6" ht="20" customHeight="1">
      <c r="B45" s="21" t="s">
        <v>526</v>
      </c>
      <c r="C45" s="22" t="s">
        <v>519</v>
      </c>
      <c r="D45" s="22" t="s">
        <v>520</v>
      </c>
      <c r="E45" s="22" t="s">
        <v>527</v>
      </c>
      <c r="F45" s="23" t="s">
        <v>528</v>
      </c>
    </row>
    <row r="46" spans="2:6" ht="20" customHeight="1">
      <c r="B46" s="24" t="s">
        <v>529</v>
      </c>
      <c r="C46" s="25" t="s">
        <v>519</v>
      </c>
      <c r="D46" s="25" t="s">
        <v>520</v>
      </c>
      <c r="E46" s="25" t="s">
        <v>530</v>
      </c>
      <c r="F46" s="26" t="s">
        <v>531</v>
      </c>
    </row>
    <row r="47" spans="2:6" ht="20" customHeight="1">
      <c r="B47" s="21" t="s">
        <v>532</v>
      </c>
      <c r="C47" s="22" t="s">
        <v>519</v>
      </c>
      <c r="D47" s="22" t="s">
        <v>520</v>
      </c>
      <c r="E47" s="22" t="s">
        <v>533</v>
      </c>
      <c r="F47" s="23" t="s">
        <v>534</v>
      </c>
    </row>
    <row r="48" spans="2:6" ht="20" customHeight="1">
      <c r="B48" s="24" t="s">
        <v>535</v>
      </c>
      <c r="C48" s="25" t="s">
        <v>519</v>
      </c>
      <c r="D48" s="25" t="s">
        <v>520</v>
      </c>
      <c r="E48" s="25" t="s">
        <v>536</v>
      </c>
      <c r="F48" s="26" t="s">
        <v>537</v>
      </c>
    </row>
    <row r="49" spans="2:6" ht="20" customHeight="1">
      <c r="B49" s="21" t="s">
        <v>538</v>
      </c>
      <c r="C49" s="22" t="s">
        <v>519</v>
      </c>
      <c r="D49" s="22" t="s">
        <v>520</v>
      </c>
      <c r="E49" s="22" t="s">
        <v>539</v>
      </c>
      <c r="F49" s="23" t="s">
        <v>540</v>
      </c>
    </row>
    <row r="50" spans="2:6" ht="20" customHeight="1">
      <c r="B50" s="24" t="s">
        <v>541</v>
      </c>
      <c r="C50" s="25" t="s">
        <v>519</v>
      </c>
      <c r="D50" s="25" t="s">
        <v>520</v>
      </c>
      <c r="E50" s="25" t="s">
        <v>542</v>
      </c>
      <c r="F50" s="26" t="s">
        <v>543</v>
      </c>
    </row>
    <row r="51" spans="2:6" ht="20" customHeight="1">
      <c r="B51" s="21" t="s">
        <v>544</v>
      </c>
      <c r="C51" s="22" t="s">
        <v>519</v>
      </c>
      <c r="D51" s="22" t="s">
        <v>545</v>
      </c>
      <c r="E51" s="22" t="s">
        <v>546</v>
      </c>
      <c r="F51" s="23" t="s">
        <v>547</v>
      </c>
    </row>
    <row r="52" spans="2:6" ht="20" customHeight="1">
      <c r="B52" s="24" t="s">
        <v>548</v>
      </c>
      <c r="C52" s="25" t="s">
        <v>519</v>
      </c>
      <c r="D52" s="25" t="s">
        <v>545</v>
      </c>
      <c r="E52" s="25" t="s">
        <v>549</v>
      </c>
      <c r="F52" s="26" t="s">
        <v>550</v>
      </c>
    </row>
    <row r="53" spans="2:6" ht="20" customHeight="1">
      <c r="B53" s="21" t="s">
        <v>551</v>
      </c>
      <c r="C53" s="22" t="s">
        <v>519</v>
      </c>
      <c r="D53" s="22" t="s">
        <v>545</v>
      </c>
      <c r="E53" s="22" t="s">
        <v>552</v>
      </c>
      <c r="F53" s="23" t="s">
        <v>553</v>
      </c>
    </row>
    <row r="54" spans="2:6" ht="20" customHeight="1">
      <c r="B54" s="24" t="s">
        <v>554</v>
      </c>
      <c r="C54" s="25" t="s">
        <v>519</v>
      </c>
      <c r="D54" s="25" t="s">
        <v>545</v>
      </c>
      <c r="E54" s="25" t="s">
        <v>555</v>
      </c>
      <c r="F54" s="26" t="s">
        <v>556</v>
      </c>
    </row>
    <row r="55" spans="2:6" ht="20" customHeight="1">
      <c r="B55" s="21" t="s">
        <v>557</v>
      </c>
      <c r="C55" s="22" t="s">
        <v>519</v>
      </c>
      <c r="D55" s="22" t="s">
        <v>545</v>
      </c>
      <c r="E55" s="22" t="s">
        <v>558</v>
      </c>
      <c r="F55" s="23" t="s">
        <v>559</v>
      </c>
    </row>
    <row r="56" spans="2:6" ht="20" customHeight="1">
      <c r="B56" s="24" t="s">
        <v>560</v>
      </c>
      <c r="C56" s="25" t="s">
        <v>519</v>
      </c>
      <c r="D56" s="25" t="s">
        <v>545</v>
      </c>
      <c r="E56" s="25" t="s">
        <v>561</v>
      </c>
      <c r="F56" s="26" t="s">
        <v>562</v>
      </c>
    </row>
    <row r="57" spans="2:6" ht="20" customHeight="1">
      <c r="B57" s="21" t="s">
        <v>563</v>
      </c>
      <c r="C57" s="22" t="s">
        <v>519</v>
      </c>
      <c r="D57" s="22" t="s">
        <v>545</v>
      </c>
      <c r="E57" s="22" t="s">
        <v>564</v>
      </c>
      <c r="F57" s="23" t="s">
        <v>565</v>
      </c>
    </row>
    <row r="58" spans="2:6" ht="20" customHeight="1">
      <c r="B58" s="24" t="s">
        <v>566</v>
      </c>
      <c r="C58" s="25" t="s">
        <v>519</v>
      </c>
      <c r="D58" s="25" t="s">
        <v>545</v>
      </c>
      <c r="E58" s="25" t="s">
        <v>567</v>
      </c>
      <c r="F58" s="26" t="s">
        <v>568</v>
      </c>
    </row>
    <row r="59" spans="2:6" ht="20" customHeight="1">
      <c r="B59" s="21" t="s">
        <v>569</v>
      </c>
      <c r="C59" s="22" t="s">
        <v>519</v>
      </c>
      <c r="D59" s="22" t="s">
        <v>570</v>
      </c>
      <c r="E59" s="22" t="s">
        <v>571</v>
      </c>
      <c r="F59" s="23" t="s">
        <v>572</v>
      </c>
    </row>
    <row r="60" spans="2:6" ht="20" customHeight="1">
      <c r="B60" s="24" t="s">
        <v>573</v>
      </c>
      <c r="C60" s="25" t="s">
        <v>519</v>
      </c>
      <c r="D60" s="25" t="s">
        <v>570</v>
      </c>
      <c r="E60" s="25" t="s">
        <v>574</v>
      </c>
      <c r="F60" s="26" t="s">
        <v>575</v>
      </c>
    </row>
    <row r="61" spans="2:6" ht="20" customHeight="1">
      <c r="B61" s="21" t="s">
        <v>576</v>
      </c>
      <c r="C61" s="22" t="s">
        <v>519</v>
      </c>
      <c r="D61" s="22" t="s">
        <v>570</v>
      </c>
      <c r="E61" s="22" t="s">
        <v>577</v>
      </c>
      <c r="F61" s="23" t="s">
        <v>578</v>
      </c>
    </row>
    <row r="62" spans="2:6" ht="20" customHeight="1">
      <c r="B62" s="24" t="s">
        <v>579</v>
      </c>
      <c r="C62" s="25" t="s">
        <v>519</v>
      </c>
      <c r="D62" s="25" t="s">
        <v>570</v>
      </c>
      <c r="E62" s="25" t="s">
        <v>580</v>
      </c>
      <c r="F62" s="26" t="s">
        <v>581</v>
      </c>
    </row>
    <row r="63" spans="2:6" ht="20" customHeight="1">
      <c r="B63" s="21" t="s">
        <v>582</v>
      </c>
      <c r="C63" s="22" t="s">
        <v>519</v>
      </c>
      <c r="D63" s="22" t="s">
        <v>570</v>
      </c>
      <c r="E63" s="22" t="s">
        <v>583</v>
      </c>
      <c r="F63" s="23" t="s">
        <v>584</v>
      </c>
    </row>
    <row r="64" spans="2:6" ht="20" customHeight="1">
      <c r="B64" s="24" t="s">
        <v>585</v>
      </c>
      <c r="C64" s="25" t="s">
        <v>519</v>
      </c>
      <c r="D64" s="25" t="s">
        <v>570</v>
      </c>
      <c r="E64" s="25" t="s">
        <v>586</v>
      </c>
      <c r="F64" s="26" t="s">
        <v>587</v>
      </c>
    </row>
    <row r="65" spans="2:6" ht="20" customHeight="1">
      <c r="B65" s="21" t="s">
        <v>588</v>
      </c>
      <c r="C65" s="22" t="s">
        <v>519</v>
      </c>
      <c r="D65" s="22" t="s">
        <v>570</v>
      </c>
      <c r="E65" s="22" t="s">
        <v>589</v>
      </c>
      <c r="F65" s="23" t="s">
        <v>590</v>
      </c>
    </row>
    <row r="66" spans="2:6" ht="20" customHeight="1">
      <c r="B66" s="24" t="s">
        <v>591</v>
      </c>
      <c r="C66" s="25" t="s">
        <v>519</v>
      </c>
      <c r="D66" s="25" t="s">
        <v>570</v>
      </c>
      <c r="E66" s="25" t="s">
        <v>592</v>
      </c>
      <c r="F66" s="26" t="s">
        <v>593</v>
      </c>
    </row>
    <row r="67" spans="2:6" ht="20" customHeight="1">
      <c r="B67" s="21" t="s">
        <v>594</v>
      </c>
      <c r="C67" s="22" t="s">
        <v>519</v>
      </c>
      <c r="D67" s="22" t="s">
        <v>595</v>
      </c>
      <c r="E67" s="22" t="s">
        <v>596</v>
      </c>
      <c r="F67" s="23" t="s">
        <v>597</v>
      </c>
    </row>
    <row r="68" spans="2:6" ht="20" customHeight="1">
      <c r="B68" s="24" t="s">
        <v>598</v>
      </c>
      <c r="C68" s="25" t="s">
        <v>519</v>
      </c>
      <c r="D68" s="25" t="s">
        <v>595</v>
      </c>
      <c r="E68" s="25" t="s">
        <v>599</v>
      </c>
      <c r="F68" s="26" t="s">
        <v>600</v>
      </c>
    </row>
    <row r="69" spans="2:6" ht="20" customHeight="1">
      <c r="B69" s="21" t="s">
        <v>601</v>
      </c>
      <c r="C69" s="22" t="s">
        <v>519</v>
      </c>
      <c r="D69" s="22" t="s">
        <v>595</v>
      </c>
      <c r="E69" s="22" t="s">
        <v>602</v>
      </c>
      <c r="F69" s="23" t="s">
        <v>603</v>
      </c>
    </row>
    <row r="70" spans="2:6" ht="20" customHeight="1">
      <c r="B70" s="24" t="s">
        <v>604</v>
      </c>
      <c r="C70" s="25" t="s">
        <v>519</v>
      </c>
      <c r="D70" s="25" t="s">
        <v>595</v>
      </c>
      <c r="E70" s="25" t="s">
        <v>605</v>
      </c>
      <c r="F70" s="26" t="s">
        <v>606</v>
      </c>
    </row>
    <row r="71" spans="2:6" ht="20" customHeight="1">
      <c r="B71" s="21" t="s">
        <v>607</v>
      </c>
      <c r="C71" s="22" t="s">
        <v>519</v>
      </c>
      <c r="D71" s="22" t="s">
        <v>595</v>
      </c>
      <c r="E71" s="22" t="s">
        <v>608</v>
      </c>
      <c r="F71" s="23" t="s">
        <v>609</v>
      </c>
    </row>
    <row r="72" spans="2:6" ht="20" customHeight="1">
      <c r="B72" s="24" t="s">
        <v>610</v>
      </c>
      <c r="C72" s="25" t="s">
        <v>519</v>
      </c>
      <c r="D72" s="25" t="s">
        <v>595</v>
      </c>
      <c r="E72" s="25" t="s">
        <v>611</v>
      </c>
      <c r="F72" s="26" t="s">
        <v>612</v>
      </c>
    </row>
    <row r="73" spans="2:6" ht="20" customHeight="1">
      <c r="B73" s="21" t="s">
        <v>613</v>
      </c>
      <c r="C73" s="22" t="s">
        <v>519</v>
      </c>
      <c r="D73" s="22" t="s">
        <v>595</v>
      </c>
      <c r="E73" s="22" t="s">
        <v>614</v>
      </c>
      <c r="F73" s="23" t="s">
        <v>615</v>
      </c>
    </row>
    <row r="74" spans="2:6" ht="20" customHeight="1">
      <c r="B74" s="24" t="s">
        <v>616</v>
      </c>
      <c r="C74" s="25" t="s">
        <v>519</v>
      </c>
      <c r="D74" s="25" t="s">
        <v>595</v>
      </c>
      <c r="E74" s="25" t="s">
        <v>617</v>
      </c>
      <c r="F74" s="26" t="s">
        <v>618</v>
      </c>
    </row>
    <row r="75" spans="2:6" ht="20" customHeight="1">
      <c r="B75" s="21" t="s">
        <v>619</v>
      </c>
      <c r="C75" s="22" t="s">
        <v>620</v>
      </c>
      <c r="D75" s="22" t="s">
        <v>621</v>
      </c>
      <c r="E75" s="22" t="s">
        <v>622</v>
      </c>
      <c r="F75" s="23" t="s">
        <v>623</v>
      </c>
    </row>
    <row r="76" spans="2:6" ht="20" customHeight="1">
      <c r="B76" s="24" t="s">
        <v>624</v>
      </c>
      <c r="C76" s="25" t="s">
        <v>620</v>
      </c>
      <c r="D76" s="25" t="s">
        <v>621</v>
      </c>
      <c r="E76" s="25" t="s">
        <v>625</v>
      </c>
      <c r="F76" s="26" t="s">
        <v>626</v>
      </c>
    </row>
    <row r="77" spans="2:6" ht="20" customHeight="1">
      <c r="B77" s="21" t="s">
        <v>627</v>
      </c>
      <c r="C77" s="22" t="s">
        <v>620</v>
      </c>
      <c r="D77" s="22" t="s">
        <v>621</v>
      </c>
      <c r="E77" s="22" t="s">
        <v>628</v>
      </c>
      <c r="F77" s="23" t="s">
        <v>629</v>
      </c>
    </row>
    <row r="78" spans="2:6" ht="20" customHeight="1">
      <c r="B78" s="24" t="s">
        <v>630</v>
      </c>
      <c r="C78" s="25" t="s">
        <v>620</v>
      </c>
      <c r="D78" s="25" t="s">
        <v>621</v>
      </c>
      <c r="E78" s="25" t="s">
        <v>631</v>
      </c>
      <c r="F78" s="26" t="s">
        <v>632</v>
      </c>
    </row>
    <row r="79" spans="2:6" ht="20" customHeight="1">
      <c r="B79" s="21" t="s">
        <v>633</v>
      </c>
      <c r="C79" s="22" t="s">
        <v>620</v>
      </c>
      <c r="D79" s="22" t="s">
        <v>621</v>
      </c>
      <c r="E79" s="22" t="s">
        <v>634</v>
      </c>
      <c r="F79" s="23" t="s">
        <v>635</v>
      </c>
    </row>
    <row r="80" spans="2:6" ht="20" customHeight="1">
      <c r="B80" s="24" t="s">
        <v>636</v>
      </c>
      <c r="C80" s="25" t="s">
        <v>620</v>
      </c>
      <c r="D80" s="25" t="s">
        <v>621</v>
      </c>
      <c r="E80" s="25" t="s">
        <v>637</v>
      </c>
      <c r="F80" s="26" t="s">
        <v>638</v>
      </c>
    </row>
    <row r="81" spans="2:6" ht="20" customHeight="1">
      <c r="B81" s="21" t="s">
        <v>639</v>
      </c>
      <c r="C81" s="22" t="s">
        <v>620</v>
      </c>
      <c r="D81" s="22" t="s">
        <v>621</v>
      </c>
      <c r="E81" s="22" t="s">
        <v>640</v>
      </c>
      <c r="F81" s="23" t="s">
        <v>641</v>
      </c>
    </row>
    <row r="82" spans="2:6" ht="20" customHeight="1">
      <c r="B82" s="24" t="s">
        <v>642</v>
      </c>
      <c r="C82" s="25" t="s">
        <v>620</v>
      </c>
      <c r="D82" s="25" t="s">
        <v>621</v>
      </c>
      <c r="E82" s="25" t="s">
        <v>643</v>
      </c>
      <c r="F82" s="26" t="s">
        <v>644</v>
      </c>
    </row>
    <row r="83" spans="2:6" ht="20" customHeight="1">
      <c r="B83" s="21" t="s">
        <v>645</v>
      </c>
      <c r="C83" s="22" t="s">
        <v>620</v>
      </c>
      <c r="D83" s="22" t="s">
        <v>646</v>
      </c>
      <c r="E83" s="22" t="s">
        <v>647</v>
      </c>
      <c r="F83" s="23" t="s">
        <v>648</v>
      </c>
    </row>
    <row r="84" spans="2:6" ht="20" customHeight="1">
      <c r="B84" s="24" t="s">
        <v>649</v>
      </c>
      <c r="C84" s="25" t="s">
        <v>620</v>
      </c>
      <c r="D84" s="25" t="s">
        <v>646</v>
      </c>
      <c r="E84" s="25" t="s">
        <v>650</v>
      </c>
      <c r="F84" s="26" t="s">
        <v>651</v>
      </c>
    </row>
    <row r="85" spans="2:6" ht="20" customHeight="1">
      <c r="B85" s="21" t="s">
        <v>652</v>
      </c>
      <c r="C85" s="22" t="s">
        <v>620</v>
      </c>
      <c r="D85" s="22" t="s">
        <v>646</v>
      </c>
      <c r="E85" s="22" t="s">
        <v>653</v>
      </c>
      <c r="F85" s="23" t="s">
        <v>654</v>
      </c>
    </row>
    <row r="86" spans="2:6" ht="20" customHeight="1">
      <c r="B86" s="24" t="s">
        <v>655</v>
      </c>
      <c r="C86" s="25" t="s">
        <v>620</v>
      </c>
      <c r="D86" s="25" t="s">
        <v>646</v>
      </c>
      <c r="E86" s="25" t="s">
        <v>656</v>
      </c>
      <c r="F86" s="26" t="s">
        <v>657</v>
      </c>
    </row>
    <row r="87" spans="2:6" ht="20" customHeight="1">
      <c r="B87" s="21" t="s">
        <v>658</v>
      </c>
      <c r="C87" s="22" t="s">
        <v>620</v>
      </c>
      <c r="D87" s="22" t="s">
        <v>646</v>
      </c>
      <c r="E87" s="22" t="s">
        <v>659</v>
      </c>
      <c r="F87" s="23" t="s">
        <v>660</v>
      </c>
    </row>
    <row r="88" spans="2:6" ht="20" customHeight="1">
      <c r="B88" s="24" t="s">
        <v>661</v>
      </c>
      <c r="C88" s="25" t="s">
        <v>620</v>
      </c>
      <c r="D88" s="25" t="s">
        <v>646</v>
      </c>
      <c r="E88" s="25" t="s">
        <v>662</v>
      </c>
      <c r="F88" s="26" t="s">
        <v>663</v>
      </c>
    </row>
    <row r="89" spans="2:6" ht="20" customHeight="1">
      <c r="B89" s="21" t="s">
        <v>664</v>
      </c>
      <c r="C89" s="22" t="s">
        <v>620</v>
      </c>
      <c r="D89" s="22" t="s">
        <v>646</v>
      </c>
      <c r="E89" s="22" t="s">
        <v>665</v>
      </c>
      <c r="F89" s="23" t="s">
        <v>666</v>
      </c>
    </row>
    <row r="90" spans="2:6" ht="20" customHeight="1">
      <c r="B90" s="24" t="s">
        <v>667</v>
      </c>
      <c r="C90" s="25" t="s">
        <v>620</v>
      </c>
      <c r="D90" s="25" t="s">
        <v>646</v>
      </c>
      <c r="E90" s="25" t="s">
        <v>668</v>
      </c>
      <c r="F90" s="26" t="s">
        <v>669</v>
      </c>
    </row>
    <row r="91" spans="2:6" ht="20" customHeight="1">
      <c r="B91" s="21" t="s">
        <v>670</v>
      </c>
      <c r="C91" s="22" t="s">
        <v>620</v>
      </c>
      <c r="D91" s="22" t="s">
        <v>671</v>
      </c>
      <c r="E91" s="22" t="s">
        <v>672</v>
      </c>
      <c r="F91" s="23" t="s">
        <v>673</v>
      </c>
    </row>
    <row r="92" spans="2:6" ht="20" customHeight="1">
      <c r="B92" s="24" t="s">
        <v>674</v>
      </c>
      <c r="C92" s="25" t="s">
        <v>620</v>
      </c>
      <c r="D92" s="25" t="s">
        <v>671</v>
      </c>
      <c r="E92" s="25" t="s">
        <v>675</v>
      </c>
      <c r="F92" s="26" t="s">
        <v>676</v>
      </c>
    </row>
    <row r="93" spans="2:6" ht="20" customHeight="1">
      <c r="B93" s="21" t="s">
        <v>677</v>
      </c>
      <c r="C93" s="22" t="s">
        <v>620</v>
      </c>
      <c r="D93" s="22" t="s">
        <v>671</v>
      </c>
      <c r="E93" s="22" t="s">
        <v>678</v>
      </c>
      <c r="F93" s="23" t="s">
        <v>679</v>
      </c>
    </row>
    <row r="94" spans="2:6" ht="20" customHeight="1">
      <c r="B94" s="24" t="s">
        <v>680</v>
      </c>
      <c r="C94" s="25" t="s">
        <v>620</v>
      </c>
      <c r="D94" s="25" t="s">
        <v>671</v>
      </c>
      <c r="E94" s="25" t="s">
        <v>681</v>
      </c>
      <c r="F94" s="26" t="s">
        <v>682</v>
      </c>
    </row>
    <row r="95" spans="2:6" ht="20" customHeight="1">
      <c r="B95" s="21" t="s">
        <v>683</v>
      </c>
      <c r="C95" s="22" t="s">
        <v>620</v>
      </c>
      <c r="D95" s="22" t="s">
        <v>671</v>
      </c>
      <c r="E95" s="22" t="s">
        <v>684</v>
      </c>
      <c r="F95" s="23" t="s">
        <v>685</v>
      </c>
    </row>
    <row r="96" spans="2:6" ht="20" customHeight="1">
      <c r="B96" s="24" t="s">
        <v>686</v>
      </c>
      <c r="C96" s="25" t="s">
        <v>620</v>
      </c>
      <c r="D96" s="25" t="s">
        <v>671</v>
      </c>
      <c r="E96" s="25" t="s">
        <v>687</v>
      </c>
      <c r="F96" s="26" t="s">
        <v>688</v>
      </c>
    </row>
    <row r="97" spans="2:6" ht="20" customHeight="1">
      <c r="B97" s="21" t="s">
        <v>689</v>
      </c>
      <c r="C97" s="22" t="s">
        <v>620</v>
      </c>
      <c r="D97" s="22" t="s">
        <v>671</v>
      </c>
      <c r="E97" s="22" t="s">
        <v>690</v>
      </c>
      <c r="F97" s="23" t="s">
        <v>691</v>
      </c>
    </row>
    <row r="98" spans="2:6" ht="20" customHeight="1">
      <c r="B98" s="24" t="s">
        <v>692</v>
      </c>
      <c r="C98" s="25" t="s">
        <v>620</v>
      </c>
      <c r="D98" s="25" t="s">
        <v>671</v>
      </c>
      <c r="E98" s="25" t="s">
        <v>693</v>
      </c>
      <c r="F98" s="26" t="s">
        <v>694</v>
      </c>
    </row>
    <row r="99" spans="2:6" ht="20" customHeight="1">
      <c r="B99" s="21" t="s">
        <v>695</v>
      </c>
      <c r="C99" s="22" t="s">
        <v>620</v>
      </c>
      <c r="D99" s="22" t="s">
        <v>696</v>
      </c>
      <c r="E99" s="22" t="s">
        <v>697</v>
      </c>
      <c r="F99" s="23" t="s">
        <v>698</v>
      </c>
    </row>
    <row r="100" spans="2:6" ht="20" customHeight="1">
      <c r="B100" s="24" t="s">
        <v>699</v>
      </c>
      <c r="C100" s="25" t="s">
        <v>620</v>
      </c>
      <c r="D100" s="25" t="s">
        <v>696</v>
      </c>
      <c r="E100" s="25" t="s">
        <v>700</v>
      </c>
      <c r="F100" s="26" t="s">
        <v>701</v>
      </c>
    </row>
    <row r="101" spans="2:6" ht="20" customHeight="1">
      <c r="B101" s="21" t="s">
        <v>702</v>
      </c>
      <c r="C101" s="22" t="s">
        <v>620</v>
      </c>
      <c r="D101" s="22" t="s">
        <v>696</v>
      </c>
      <c r="E101" s="22" t="s">
        <v>703</v>
      </c>
      <c r="F101" s="23" t="s">
        <v>704</v>
      </c>
    </row>
    <row r="102" spans="2:6" ht="20" customHeight="1">
      <c r="B102" s="24" t="s">
        <v>705</v>
      </c>
      <c r="C102" s="25" t="s">
        <v>620</v>
      </c>
      <c r="D102" s="25" t="s">
        <v>696</v>
      </c>
      <c r="E102" s="25" t="s">
        <v>706</v>
      </c>
      <c r="F102" s="26" t="s">
        <v>707</v>
      </c>
    </row>
    <row r="103" spans="2:6" ht="20" customHeight="1">
      <c r="B103" s="21" t="s">
        <v>708</v>
      </c>
      <c r="C103" s="22" t="s">
        <v>620</v>
      </c>
      <c r="D103" s="22" t="s">
        <v>696</v>
      </c>
      <c r="E103" s="22" t="s">
        <v>709</v>
      </c>
      <c r="F103" s="23" t="s">
        <v>710</v>
      </c>
    </row>
    <row r="104" spans="2:6" ht="20" customHeight="1">
      <c r="B104" s="24" t="s">
        <v>711</v>
      </c>
      <c r="C104" s="25" t="s">
        <v>620</v>
      </c>
      <c r="D104" s="25" t="s">
        <v>696</v>
      </c>
      <c r="E104" s="25" t="s">
        <v>712</v>
      </c>
      <c r="F104" s="26" t="s">
        <v>713</v>
      </c>
    </row>
    <row r="105" spans="2:6" ht="20" customHeight="1">
      <c r="B105" s="21" t="s">
        <v>714</v>
      </c>
      <c r="C105" s="22" t="s">
        <v>620</v>
      </c>
      <c r="D105" s="22" t="s">
        <v>696</v>
      </c>
      <c r="E105" s="22" t="s">
        <v>715</v>
      </c>
      <c r="F105" s="23" t="s">
        <v>716</v>
      </c>
    </row>
    <row r="106" spans="2:6" ht="20" customHeight="1">
      <c r="B106" s="24" t="s">
        <v>717</v>
      </c>
      <c r="C106" s="25" t="s">
        <v>620</v>
      </c>
      <c r="D106" s="25" t="s">
        <v>696</v>
      </c>
      <c r="E106" s="25" t="s">
        <v>718</v>
      </c>
      <c r="F106" s="26" t="s">
        <v>719</v>
      </c>
    </row>
    <row r="107" spans="2:6" ht="20" customHeight="1">
      <c r="B107" s="21" t="s">
        <v>720</v>
      </c>
      <c r="C107" s="22" t="s">
        <v>620</v>
      </c>
      <c r="D107" s="22" t="s">
        <v>721</v>
      </c>
      <c r="E107" s="22" t="s">
        <v>722</v>
      </c>
      <c r="F107" s="23" t="s">
        <v>723</v>
      </c>
    </row>
    <row r="108" spans="2:6" ht="20" customHeight="1">
      <c r="B108" s="24" t="s">
        <v>724</v>
      </c>
      <c r="C108" s="25" t="s">
        <v>620</v>
      </c>
      <c r="D108" s="25" t="s">
        <v>721</v>
      </c>
      <c r="E108" s="25" t="s">
        <v>725</v>
      </c>
      <c r="F108" s="26" t="s">
        <v>726</v>
      </c>
    </row>
    <row r="109" spans="2:6" ht="20" customHeight="1">
      <c r="B109" s="21" t="s">
        <v>727</v>
      </c>
      <c r="C109" s="22" t="s">
        <v>620</v>
      </c>
      <c r="D109" s="22" t="s">
        <v>721</v>
      </c>
      <c r="E109" s="22" t="s">
        <v>728</v>
      </c>
      <c r="F109" s="23" t="s">
        <v>729</v>
      </c>
    </row>
    <row r="110" spans="2:6" ht="20" customHeight="1">
      <c r="B110" s="24" t="s">
        <v>730</v>
      </c>
      <c r="C110" s="25" t="s">
        <v>620</v>
      </c>
      <c r="D110" s="25" t="s">
        <v>721</v>
      </c>
      <c r="E110" s="25" t="s">
        <v>731</v>
      </c>
      <c r="F110" s="26" t="s">
        <v>732</v>
      </c>
    </row>
    <row r="111" spans="2:6" ht="20" customHeight="1">
      <c r="B111" s="21" t="s">
        <v>733</v>
      </c>
      <c r="C111" s="22" t="s">
        <v>620</v>
      </c>
      <c r="D111" s="22" t="s">
        <v>721</v>
      </c>
      <c r="E111" s="22" t="s">
        <v>734</v>
      </c>
      <c r="F111" s="23" t="s">
        <v>735</v>
      </c>
    </row>
    <row r="112" spans="2:6" ht="20" customHeight="1">
      <c r="B112" s="24" t="s">
        <v>736</v>
      </c>
      <c r="C112" s="25" t="s">
        <v>620</v>
      </c>
      <c r="D112" s="25" t="s">
        <v>721</v>
      </c>
      <c r="E112" s="25" t="s">
        <v>737</v>
      </c>
      <c r="F112" s="26" t="s">
        <v>738</v>
      </c>
    </row>
    <row r="113" spans="2:6" ht="20" customHeight="1">
      <c r="B113" s="21" t="s">
        <v>739</v>
      </c>
      <c r="C113" s="22" t="s">
        <v>620</v>
      </c>
      <c r="D113" s="22" t="s">
        <v>721</v>
      </c>
      <c r="E113" s="22" t="s">
        <v>740</v>
      </c>
      <c r="F113" s="23" t="s">
        <v>741</v>
      </c>
    </row>
    <row r="114" spans="2:6" ht="20" customHeight="1">
      <c r="B114" s="24" t="s">
        <v>742</v>
      </c>
      <c r="C114" s="25" t="s">
        <v>620</v>
      </c>
      <c r="D114" s="25" t="s">
        <v>721</v>
      </c>
      <c r="E114" s="25" t="s">
        <v>743</v>
      </c>
      <c r="F114" s="26" t="s">
        <v>744</v>
      </c>
    </row>
    <row r="115" spans="2:6" ht="20" customHeight="1">
      <c r="B115" s="21" t="s">
        <v>745</v>
      </c>
      <c r="C115" s="22" t="s">
        <v>746</v>
      </c>
      <c r="D115" s="22" t="s">
        <v>747</v>
      </c>
      <c r="E115" s="22" t="s">
        <v>748</v>
      </c>
      <c r="F115" s="23" t="s">
        <v>749</v>
      </c>
    </row>
    <row r="116" spans="2:6" ht="20" customHeight="1">
      <c r="B116" s="24" t="s">
        <v>750</v>
      </c>
      <c r="C116" s="25" t="s">
        <v>746</v>
      </c>
      <c r="D116" s="25" t="s">
        <v>747</v>
      </c>
      <c r="E116" s="25" t="s">
        <v>751</v>
      </c>
      <c r="F116" s="26" t="s">
        <v>752</v>
      </c>
    </row>
    <row r="117" spans="2:6" ht="20" customHeight="1">
      <c r="B117" s="21" t="s">
        <v>753</v>
      </c>
      <c r="C117" s="22" t="s">
        <v>746</v>
      </c>
      <c r="D117" s="22" t="s">
        <v>747</v>
      </c>
      <c r="E117" s="22" t="s">
        <v>754</v>
      </c>
      <c r="F117" s="23" t="s">
        <v>755</v>
      </c>
    </row>
    <row r="118" spans="2:6" ht="20" customHeight="1">
      <c r="B118" s="24" t="s">
        <v>756</v>
      </c>
      <c r="C118" s="25" t="s">
        <v>746</v>
      </c>
      <c r="D118" s="25" t="s">
        <v>747</v>
      </c>
      <c r="E118" s="25" t="s">
        <v>757</v>
      </c>
      <c r="F118" s="26" t="s">
        <v>758</v>
      </c>
    </row>
    <row r="119" spans="2:6" ht="20" customHeight="1">
      <c r="B119" s="21" t="s">
        <v>759</v>
      </c>
      <c r="C119" s="22" t="s">
        <v>746</v>
      </c>
      <c r="D119" s="22" t="s">
        <v>747</v>
      </c>
      <c r="E119" s="22" t="s">
        <v>760</v>
      </c>
      <c r="F119" s="23" t="s">
        <v>761</v>
      </c>
    </row>
    <row r="120" spans="2:6" ht="20" customHeight="1">
      <c r="B120" s="24" t="s">
        <v>762</v>
      </c>
      <c r="C120" s="25" t="s">
        <v>746</v>
      </c>
      <c r="D120" s="25" t="s">
        <v>747</v>
      </c>
      <c r="E120" s="25" t="s">
        <v>763</v>
      </c>
      <c r="F120" s="26" t="s">
        <v>764</v>
      </c>
    </row>
    <row r="121" spans="2:6" ht="20" customHeight="1">
      <c r="B121" s="21" t="s">
        <v>765</v>
      </c>
      <c r="C121" s="22" t="s">
        <v>746</v>
      </c>
      <c r="D121" s="22" t="s">
        <v>747</v>
      </c>
      <c r="E121" s="22" t="s">
        <v>766</v>
      </c>
      <c r="F121" s="23" t="s">
        <v>767</v>
      </c>
    </row>
    <row r="122" spans="2:6" ht="20" customHeight="1">
      <c r="B122" s="24" t="s">
        <v>768</v>
      </c>
      <c r="C122" s="25" t="s">
        <v>746</v>
      </c>
      <c r="D122" s="25" t="s">
        <v>747</v>
      </c>
      <c r="E122" s="25" t="s">
        <v>769</v>
      </c>
      <c r="F122" s="26" t="s">
        <v>770</v>
      </c>
    </row>
    <row r="123" spans="2:6" ht="20" customHeight="1">
      <c r="B123" s="21" t="s">
        <v>771</v>
      </c>
      <c r="C123" s="22" t="s">
        <v>746</v>
      </c>
      <c r="D123" s="22" t="s">
        <v>772</v>
      </c>
      <c r="E123" s="22" t="s">
        <v>773</v>
      </c>
      <c r="F123" s="23" t="s">
        <v>774</v>
      </c>
    </row>
    <row r="124" spans="2:6" ht="20" customHeight="1">
      <c r="B124" s="24" t="s">
        <v>775</v>
      </c>
      <c r="C124" s="25" t="s">
        <v>746</v>
      </c>
      <c r="D124" s="25" t="s">
        <v>772</v>
      </c>
      <c r="E124" s="25" t="s">
        <v>776</v>
      </c>
      <c r="F124" s="26" t="s">
        <v>777</v>
      </c>
    </row>
    <row r="125" spans="2:6" ht="20" customHeight="1">
      <c r="B125" s="21" t="s">
        <v>778</v>
      </c>
      <c r="C125" s="22" t="s">
        <v>746</v>
      </c>
      <c r="D125" s="22" t="s">
        <v>772</v>
      </c>
      <c r="E125" s="22" t="s">
        <v>779</v>
      </c>
      <c r="F125" s="23" t="s">
        <v>780</v>
      </c>
    </row>
    <row r="126" spans="2:6" ht="20" customHeight="1">
      <c r="B126" s="24" t="s">
        <v>781</v>
      </c>
      <c r="C126" s="25" t="s">
        <v>746</v>
      </c>
      <c r="D126" s="25" t="s">
        <v>772</v>
      </c>
      <c r="E126" s="25" t="s">
        <v>782</v>
      </c>
      <c r="F126" s="26" t="s">
        <v>783</v>
      </c>
    </row>
    <row r="127" spans="2:6" ht="20" customHeight="1">
      <c r="B127" s="21" t="s">
        <v>784</v>
      </c>
      <c r="C127" s="22" t="s">
        <v>746</v>
      </c>
      <c r="D127" s="22" t="s">
        <v>772</v>
      </c>
      <c r="E127" s="22" t="s">
        <v>785</v>
      </c>
      <c r="F127" s="23" t="s">
        <v>786</v>
      </c>
    </row>
    <row r="128" spans="2:6" ht="20" customHeight="1">
      <c r="B128" s="24" t="s">
        <v>787</v>
      </c>
      <c r="C128" s="25" t="s">
        <v>746</v>
      </c>
      <c r="D128" s="25" t="s">
        <v>772</v>
      </c>
      <c r="E128" s="25" t="s">
        <v>788</v>
      </c>
      <c r="F128" s="26" t="s">
        <v>789</v>
      </c>
    </row>
    <row r="129" spans="2:6" ht="20" customHeight="1">
      <c r="B129" s="21" t="s">
        <v>790</v>
      </c>
      <c r="C129" s="22" t="s">
        <v>746</v>
      </c>
      <c r="D129" s="22" t="s">
        <v>772</v>
      </c>
      <c r="E129" s="22" t="s">
        <v>791</v>
      </c>
      <c r="F129" s="23" t="s">
        <v>792</v>
      </c>
    </row>
    <row r="130" spans="2:6" ht="20" customHeight="1">
      <c r="B130" s="24" t="s">
        <v>793</v>
      </c>
      <c r="C130" s="25" t="s">
        <v>746</v>
      </c>
      <c r="D130" s="25" t="s">
        <v>772</v>
      </c>
      <c r="E130" s="25" t="s">
        <v>794</v>
      </c>
      <c r="F130" s="26" t="s">
        <v>795</v>
      </c>
    </row>
    <row r="131" spans="2:6" ht="20" customHeight="1">
      <c r="B131" s="21" t="s">
        <v>796</v>
      </c>
      <c r="C131" s="22" t="s">
        <v>746</v>
      </c>
      <c r="D131" s="22" t="s">
        <v>797</v>
      </c>
      <c r="E131" s="22" t="s">
        <v>798</v>
      </c>
      <c r="F131" s="23" t="s">
        <v>799</v>
      </c>
    </row>
    <row r="132" spans="2:6" ht="20" customHeight="1">
      <c r="B132" s="24" t="s">
        <v>800</v>
      </c>
      <c r="C132" s="25" t="s">
        <v>746</v>
      </c>
      <c r="D132" s="25" t="s">
        <v>797</v>
      </c>
      <c r="E132" s="25" t="s">
        <v>801</v>
      </c>
      <c r="F132" s="26" t="s">
        <v>802</v>
      </c>
    </row>
    <row r="133" spans="2:6" ht="20" customHeight="1">
      <c r="B133" s="21" t="s">
        <v>803</v>
      </c>
      <c r="C133" s="22" t="s">
        <v>746</v>
      </c>
      <c r="D133" s="22" t="s">
        <v>797</v>
      </c>
      <c r="E133" s="22" t="s">
        <v>804</v>
      </c>
      <c r="F133" s="23" t="s">
        <v>805</v>
      </c>
    </row>
    <row r="134" spans="2:6" ht="20" customHeight="1">
      <c r="B134" s="24" t="s">
        <v>806</v>
      </c>
      <c r="C134" s="25" t="s">
        <v>746</v>
      </c>
      <c r="D134" s="25" t="s">
        <v>797</v>
      </c>
      <c r="E134" s="25" t="s">
        <v>807</v>
      </c>
      <c r="F134" s="26" t="s">
        <v>808</v>
      </c>
    </row>
    <row r="135" spans="2:6" ht="20" customHeight="1">
      <c r="B135" s="21" t="s">
        <v>809</v>
      </c>
      <c r="C135" s="22" t="s">
        <v>746</v>
      </c>
      <c r="D135" s="22" t="s">
        <v>797</v>
      </c>
      <c r="E135" s="22" t="s">
        <v>810</v>
      </c>
      <c r="F135" s="23" t="s">
        <v>811</v>
      </c>
    </row>
    <row r="136" spans="2:6" ht="20" customHeight="1">
      <c r="B136" s="24" t="s">
        <v>812</v>
      </c>
      <c r="C136" s="25" t="s">
        <v>746</v>
      </c>
      <c r="D136" s="25" t="s">
        <v>797</v>
      </c>
      <c r="E136" s="25" t="s">
        <v>813</v>
      </c>
      <c r="F136" s="26" t="s">
        <v>814</v>
      </c>
    </row>
    <row r="137" spans="2:6" ht="20" customHeight="1">
      <c r="B137" s="21" t="s">
        <v>815</v>
      </c>
      <c r="C137" s="22" t="s">
        <v>746</v>
      </c>
      <c r="D137" s="22" t="s">
        <v>797</v>
      </c>
      <c r="E137" s="22" t="s">
        <v>816</v>
      </c>
      <c r="F137" s="23" t="s">
        <v>817</v>
      </c>
    </row>
    <row r="138" spans="2:6" ht="20" customHeight="1">
      <c r="B138" s="24" t="s">
        <v>818</v>
      </c>
      <c r="C138" s="25" t="s">
        <v>746</v>
      </c>
      <c r="D138" s="25" t="s">
        <v>797</v>
      </c>
      <c r="E138" s="25" t="s">
        <v>819</v>
      </c>
      <c r="F138" s="26" t="s">
        <v>820</v>
      </c>
    </row>
    <row r="139" spans="2:6" ht="20" customHeight="1">
      <c r="B139" s="21" t="s">
        <v>821</v>
      </c>
      <c r="C139" s="22" t="s">
        <v>746</v>
      </c>
      <c r="D139" s="22" t="s">
        <v>822</v>
      </c>
      <c r="E139" s="22" t="s">
        <v>823</v>
      </c>
      <c r="F139" s="23" t="s">
        <v>824</v>
      </c>
    </row>
    <row r="140" spans="2:6" ht="20" customHeight="1">
      <c r="B140" s="24" t="s">
        <v>825</v>
      </c>
      <c r="C140" s="25" t="s">
        <v>746</v>
      </c>
      <c r="D140" s="25" t="s">
        <v>822</v>
      </c>
      <c r="E140" s="25" t="s">
        <v>826</v>
      </c>
      <c r="F140" s="26" t="s">
        <v>827</v>
      </c>
    </row>
    <row r="141" spans="2:6" ht="20" customHeight="1">
      <c r="B141" s="21" t="s">
        <v>828</v>
      </c>
      <c r="C141" s="22" t="s">
        <v>746</v>
      </c>
      <c r="D141" s="22" t="s">
        <v>822</v>
      </c>
      <c r="E141" s="22" t="s">
        <v>829</v>
      </c>
      <c r="F141" s="23" t="s">
        <v>830</v>
      </c>
    </row>
    <row r="142" spans="2:6" ht="20" customHeight="1">
      <c r="B142" s="24" t="s">
        <v>831</v>
      </c>
      <c r="C142" s="25" t="s">
        <v>746</v>
      </c>
      <c r="D142" s="25" t="s">
        <v>822</v>
      </c>
      <c r="E142" s="25" t="s">
        <v>832</v>
      </c>
      <c r="F142" s="26" t="s">
        <v>833</v>
      </c>
    </row>
    <row r="143" spans="2:6" ht="20" customHeight="1">
      <c r="B143" s="21" t="s">
        <v>834</v>
      </c>
      <c r="C143" s="22" t="s">
        <v>746</v>
      </c>
      <c r="D143" s="22" t="s">
        <v>822</v>
      </c>
      <c r="E143" s="22" t="s">
        <v>835</v>
      </c>
      <c r="F143" s="23" t="s">
        <v>836</v>
      </c>
    </row>
    <row r="144" spans="2:6" ht="20" customHeight="1">
      <c r="B144" s="24" t="s">
        <v>837</v>
      </c>
      <c r="C144" s="25" t="s">
        <v>746</v>
      </c>
      <c r="D144" s="25" t="s">
        <v>822</v>
      </c>
      <c r="E144" s="25" t="s">
        <v>838</v>
      </c>
      <c r="F144" s="26" t="s">
        <v>839</v>
      </c>
    </row>
    <row r="145" spans="2:6" ht="20" customHeight="1">
      <c r="B145" s="21" t="s">
        <v>840</v>
      </c>
      <c r="C145" s="22" t="s">
        <v>746</v>
      </c>
      <c r="D145" s="22" t="s">
        <v>822</v>
      </c>
      <c r="E145" s="22" t="s">
        <v>841</v>
      </c>
      <c r="F145" s="23" t="s">
        <v>842</v>
      </c>
    </row>
    <row r="146" spans="2:6" ht="20" customHeight="1">
      <c r="B146" s="24" t="s">
        <v>843</v>
      </c>
      <c r="C146" s="25" t="s">
        <v>746</v>
      </c>
      <c r="D146" s="25" t="s">
        <v>822</v>
      </c>
      <c r="E146" s="25" t="s">
        <v>844</v>
      </c>
      <c r="F146" s="26" t="s">
        <v>845</v>
      </c>
    </row>
    <row r="147" spans="2:6" ht="20" customHeight="1">
      <c r="B147" s="21" t="s">
        <v>846</v>
      </c>
      <c r="C147" s="22" t="s">
        <v>746</v>
      </c>
      <c r="D147" s="22" t="s">
        <v>847</v>
      </c>
      <c r="E147" s="22" t="s">
        <v>848</v>
      </c>
      <c r="F147" s="23" t="s">
        <v>849</v>
      </c>
    </row>
    <row r="148" spans="2:6" ht="20" customHeight="1">
      <c r="B148" s="24" t="s">
        <v>850</v>
      </c>
      <c r="C148" s="25" t="s">
        <v>746</v>
      </c>
      <c r="D148" s="25" t="s">
        <v>847</v>
      </c>
      <c r="E148" s="25" t="s">
        <v>851</v>
      </c>
      <c r="F148" s="26" t="s">
        <v>852</v>
      </c>
    </row>
    <row r="149" spans="2:6" ht="20" customHeight="1">
      <c r="B149" s="21" t="s">
        <v>853</v>
      </c>
      <c r="C149" s="22" t="s">
        <v>746</v>
      </c>
      <c r="D149" s="22" t="s">
        <v>847</v>
      </c>
      <c r="E149" s="22" t="s">
        <v>854</v>
      </c>
      <c r="F149" s="23" t="s">
        <v>855</v>
      </c>
    </row>
    <row r="150" spans="2:6" ht="20" customHeight="1">
      <c r="B150" s="24" t="s">
        <v>856</v>
      </c>
      <c r="C150" s="25" t="s">
        <v>746</v>
      </c>
      <c r="D150" s="25" t="s">
        <v>847</v>
      </c>
      <c r="E150" s="25" t="s">
        <v>857</v>
      </c>
      <c r="F150" s="26" t="s">
        <v>858</v>
      </c>
    </row>
    <row r="151" spans="2:6" ht="20" customHeight="1">
      <c r="B151" s="21" t="s">
        <v>859</v>
      </c>
      <c r="C151" s="22" t="s">
        <v>746</v>
      </c>
      <c r="D151" s="22" t="s">
        <v>847</v>
      </c>
      <c r="E151" s="22" t="s">
        <v>860</v>
      </c>
      <c r="F151" s="23" t="s">
        <v>861</v>
      </c>
    </row>
    <row r="152" spans="2:6" ht="20" customHeight="1">
      <c r="B152" s="24" t="s">
        <v>862</v>
      </c>
      <c r="C152" s="25" t="s">
        <v>746</v>
      </c>
      <c r="D152" s="25" t="s">
        <v>847</v>
      </c>
      <c r="E152" s="25" t="s">
        <v>863</v>
      </c>
      <c r="F152" s="26" t="s">
        <v>864</v>
      </c>
    </row>
    <row r="153" spans="2:6" ht="20" customHeight="1">
      <c r="B153" s="21" t="s">
        <v>865</v>
      </c>
      <c r="C153" s="22" t="s">
        <v>746</v>
      </c>
      <c r="D153" s="22" t="s">
        <v>847</v>
      </c>
      <c r="E153" s="22" t="s">
        <v>866</v>
      </c>
      <c r="F153" s="23" t="s">
        <v>867</v>
      </c>
    </row>
    <row r="154" spans="2:6" ht="20" customHeight="1">
      <c r="B154" s="24" t="s">
        <v>868</v>
      </c>
      <c r="C154" s="25" t="s">
        <v>746</v>
      </c>
      <c r="D154" s="25" t="s">
        <v>847</v>
      </c>
      <c r="E154" s="25" t="s">
        <v>869</v>
      </c>
      <c r="F154" s="26" t="s">
        <v>870</v>
      </c>
    </row>
    <row r="155" spans="2:6" ht="20" customHeight="1">
      <c r="B155" s="21" t="s">
        <v>871</v>
      </c>
      <c r="C155" s="22" t="s">
        <v>872</v>
      </c>
      <c r="D155" s="22" t="s">
        <v>873</v>
      </c>
      <c r="E155" s="22" t="s">
        <v>874</v>
      </c>
      <c r="F155" s="23" t="s">
        <v>875</v>
      </c>
    </row>
    <row r="156" spans="2:6" ht="20" customHeight="1">
      <c r="B156" s="24" t="s">
        <v>876</v>
      </c>
      <c r="C156" s="25" t="s">
        <v>872</v>
      </c>
      <c r="D156" s="25" t="s">
        <v>873</v>
      </c>
      <c r="E156" s="25" t="s">
        <v>877</v>
      </c>
      <c r="F156" s="26" t="s">
        <v>878</v>
      </c>
    </row>
    <row r="157" spans="2:6" ht="20" customHeight="1">
      <c r="B157" s="21" t="s">
        <v>879</v>
      </c>
      <c r="C157" s="22" t="s">
        <v>872</v>
      </c>
      <c r="D157" s="22" t="s">
        <v>873</v>
      </c>
      <c r="E157" s="22" t="s">
        <v>880</v>
      </c>
      <c r="F157" s="23" t="s">
        <v>881</v>
      </c>
    </row>
    <row r="158" spans="2:6" ht="20" customHeight="1">
      <c r="B158" s="24" t="s">
        <v>882</v>
      </c>
      <c r="C158" s="25" t="s">
        <v>872</v>
      </c>
      <c r="D158" s="25" t="s">
        <v>873</v>
      </c>
      <c r="E158" s="25" t="s">
        <v>883</v>
      </c>
      <c r="F158" s="26" t="s">
        <v>884</v>
      </c>
    </row>
    <row r="159" spans="2:6" ht="20" customHeight="1">
      <c r="B159" s="21" t="s">
        <v>885</v>
      </c>
      <c r="C159" s="22" t="s">
        <v>872</v>
      </c>
      <c r="D159" s="22" t="s">
        <v>873</v>
      </c>
      <c r="E159" s="22" t="s">
        <v>886</v>
      </c>
      <c r="F159" s="23" t="s">
        <v>887</v>
      </c>
    </row>
    <row r="160" spans="2:6" ht="20" customHeight="1">
      <c r="B160" s="24" t="s">
        <v>888</v>
      </c>
      <c r="C160" s="25" t="s">
        <v>872</v>
      </c>
      <c r="D160" s="25" t="s">
        <v>873</v>
      </c>
      <c r="E160" s="25" t="s">
        <v>889</v>
      </c>
      <c r="F160" s="26" t="s">
        <v>890</v>
      </c>
    </row>
    <row r="161" spans="2:6" ht="20" customHeight="1">
      <c r="B161" s="21" t="s">
        <v>891</v>
      </c>
      <c r="C161" s="22" t="s">
        <v>872</v>
      </c>
      <c r="D161" s="22" t="s">
        <v>873</v>
      </c>
      <c r="E161" s="22" t="s">
        <v>892</v>
      </c>
      <c r="F161" s="23" t="s">
        <v>893</v>
      </c>
    </row>
    <row r="162" spans="2:6" ht="20" customHeight="1">
      <c r="B162" s="24" t="s">
        <v>894</v>
      </c>
      <c r="C162" s="25" t="s">
        <v>872</v>
      </c>
      <c r="D162" s="25" t="s">
        <v>873</v>
      </c>
      <c r="E162" s="25" t="s">
        <v>895</v>
      </c>
      <c r="F162" s="26" t="s">
        <v>896</v>
      </c>
    </row>
    <row r="163" spans="2:6" ht="20" customHeight="1">
      <c r="B163" s="21" t="s">
        <v>897</v>
      </c>
      <c r="C163" s="22" t="s">
        <v>872</v>
      </c>
      <c r="D163" s="22" t="s">
        <v>898</v>
      </c>
      <c r="E163" s="22" t="s">
        <v>899</v>
      </c>
      <c r="F163" s="23" t="s">
        <v>900</v>
      </c>
    </row>
    <row r="164" spans="2:6" ht="20" customHeight="1">
      <c r="B164" s="24" t="s">
        <v>901</v>
      </c>
      <c r="C164" s="25" t="s">
        <v>872</v>
      </c>
      <c r="D164" s="25" t="s">
        <v>898</v>
      </c>
      <c r="E164" s="25" t="s">
        <v>902</v>
      </c>
      <c r="F164" s="26" t="s">
        <v>903</v>
      </c>
    </row>
    <row r="165" spans="2:6" ht="20" customHeight="1">
      <c r="B165" s="21" t="s">
        <v>904</v>
      </c>
      <c r="C165" s="22" t="s">
        <v>872</v>
      </c>
      <c r="D165" s="22" t="s">
        <v>898</v>
      </c>
      <c r="E165" s="22" t="s">
        <v>905</v>
      </c>
      <c r="F165" s="23" t="s">
        <v>906</v>
      </c>
    </row>
    <row r="166" spans="2:6" ht="20" customHeight="1">
      <c r="B166" s="24" t="s">
        <v>907</v>
      </c>
      <c r="C166" s="25" t="s">
        <v>872</v>
      </c>
      <c r="D166" s="25" t="s">
        <v>898</v>
      </c>
      <c r="E166" s="25" t="s">
        <v>908</v>
      </c>
      <c r="F166" s="26" t="s">
        <v>909</v>
      </c>
    </row>
    <row r="167" spans="2:6" ht="20" customHeight="1">
      <c r="B167" s="21" t="s">
        <v>910</v>
      </c>
      <c r="C167" s="22" t="s">
        <v>872</v>
      </c>
      <c r="D167" s="22" t="s">
        <v>898</v>
      </c>
      <c r="E167" s="22" t="s">
        <v>911</v>
      </c>
      <c r="F167" s="23" t="s">
        <v>912</v>
      </c>
    </row>
    <row r="168" spans="2:6" ht="20" customHeight="1">
      <c r="B168" s="24" t="s">
        <v>913</v>
      </c>
      <c r="C168" s="25" t="s">
        <v>872</v>
      </c>
      <c r="D168" s="25" t="s">
        <v>898</v>
      </c>
      <c r="E168" s="25" t="s">
        <v>914</v>
      </c>
      <c r="F168" s="26" t="s">
        <v>915</v>
      </c>
    </row>
    <row r="169" spans="2:6" ht="20" customHeight="1">
      <c r="B169" s="21" t="s">
        <v>916</v>
      </c>
      <c r="C169" s="22" t="s">
        <v>872</v>
      </c>
      <c r="D169" s="22" t="s">
        <v>898</v>
      </c>
      <c r="E169" s="22" t="s">
        <v>917</v>
      </c>
      <c r="F169" s="23" t="s">
        <v>918</v>
      </c>
    </row>
    <row r="170" spans="2:6" ht="20" customHeight="1">
      <c r="B170" s="24" t="s">
        <v>919</v>
      </c>
      <c r="C170" s="25" t="s">
        <v>872</v>
      </c>
      <c r="D170" s="25" t="s">
        <v>898</v>
      </c>
      <c r="E170" s="25" t="s">
        <v>920</v>
      </c>
      <c r="F170" s="26" t="s">
        <v>921</v>
      </c>
    </row>
    <row r="171" spans="2:6" ht="20" customHeight="1">
      <c r="B171" s="21" t="s">
        <v>922</v>
      </c>
      <c r="C171" s="22" t="s">
        <v>872</v>
      </c>
      <c r="D171" s="22" t="s">
        <v>923</v>
      </c>
      <c r="E171" s="22" t="s">
        <v>924</v>
      </c>
      <c r="F171" s="23" t="s">
        <v>925</v>
      </c>
    </row>
    <row r="172" spans="2:6" ht="20" customHeight="1">
      <c r="B172" s="24" t="s">
        <v>926</v>
      </c>
      <c r="C172" s="25" t="s">
        <v>872</v>
      </c>
      <c r="D172" s="25" t="s">
        <v>923</v>
      </c>
      <c r="E172" s="25" t="s">
        <v>927</v>
      </c>
      <c r="F172" s="26" t="s">
        <v>928</v>
      </c>
    </row>
    <row r="173" spans="2:6" ht="20" customHeight="1">
      <c r="B173" s="21" t="s">
        <v>929</v>
      </c>
      <c r="C173" s="22" t="s">
        <v>872</v>
      </c>
      <c r="D173" s="22" t="s">
        <v>923</v>
      </c>
      <c r="E173" s="22" t="s">
        <v>930</v>
      </c>
      <c r="F173" s="23" t="s">
        <v>931</v>
      </c>
    </row>
    <row r="174" spans="2:6" ht="20" customHeight="1">
      <c r="B174" s="24" t="s">
        <v>932</v>
      </c>
      <c r="C174" s="25" t="s">
        <v>872</v>
      </c>
      <c r="D174" s="25" t="s">
        <v>923</v>
      </c>
      <c r="E174" s="25" t="s">
        <v>933</v>
      </c>
      <c r="F174" s="26" t="s">
        <v>934</v>
      </c>
    </row>
    <row r="175" spans="2:6" ht="20" customHeight="1">
      <c r="B175" s="21" t="s">
        <v>935</v>
      </c>
      <c r="C175" s="22" t="s">
        <v>872</v>
      </c>
      <c r="D175" s="22" t="s">
        <v>923</v>
      </c>
      <c r="E175" s="22" t="s">
        <v>936</v>
      </c>
      <c r="F175" s="23" t="s">
        <v>937</v>
      </c>
    </row>
    <row r="176" spans="2:6" ht="20" customHeight="1">
      <c r="B176" s="24" t="s">
        <v>938</v>
      </c>
      <c r="C176" s="25" t="s">
        <v>872</v>
      </c>
      <c r="D176" s="25" t="s">
        <v>923</v>
      </c>
      <c r="E176" s="25" t="s">
        <v>939</v>
      </c>
      <c r="F176" s="26" t="s">
        <v>940</v>
      </c>
    </row>
    <row r="177" spans="2:6" ht="20" customHeight="1">
      <c r="B177" s="21" t="s">
        <v>941</v>
      </c>
      <c r="C177" s="22" t="s">
        <v>872</v>
      </c>
      <c r="D177" s="22" t="s">
        <v>923</v>
      </c>
      <c r="E177" s="22" t="s">
        <v>942</v>
      </c>
      <c r="F177" s="23" t="s">
        <v>943</v>
      </c>
    </row>
    <row r="178" spans="2:6" ht="20" customHeight="1">
      <c r="B178" s="24" t="s">
        <v>944</v>
      </c>
      <c r="C178" s="25" t="s">
        <v>872</v>
      </c>
      <c r="D178" s="25" t="s">
        <v>923</v>
      </c>
      <c r="E178" s="25" t="s">
        <v>945</v>
      </c>
      <c r="F178" s="26" t="s">
        <v>946</v>
      </c>
    </row>
    <row r="179" spans="2:6" ht="20" customHeight="1">
      <c r="B179" s="21" t="s">
        <v>947</v>
      </c>
      <c r="C179" s="22" t="s">
        <v>948</v>
      </c>
      <c r="D179" s="22" t="s">
        <v>949</v>
      </c>
      <c r="E179" s="22" t="s">
        <v>950</v>
      </c>
      <c r="F179" s="23" t="s">
        <v>951</v>
      </c>
    </row>
    <row r="180" spans="2:6" ht="20" customHeight="1">
      <c r="B180" s="24" t="s">
        <v>952</v>
      </c>
      <c r="C180" s="25" t="s">
        <v>948</v>
      </c>
      <c r="D180" s="25" t="s">
        <v>949</v>
      </c>
      <c r="E180" s="25" t="s">
        <v>953</v>
      </c>
      <c r="F180" s="26" t="s">
        <v>954</v>
      </c>
    </row>
    <row r="181" spans="2:6" ht="20" customHeight="1">
      <c r="B181" s="21" t="s">
        <v>955</v>
      </c>
      <c r="C181" s="22" t="s">
        <v>948</v>
      </c>
      <c r="D181" s="22" t="s">
        <v>949</v>
      </c>
      <c r="E181" s="22" t="s">
        <v>956</v>
      </c>
      <c r="F181" s="23" t="s">
        <v>957</v>
      </c>
    </row>
    <row r="182" spans="2:6" ht="20" customHeight="1">
      <c r="B182" s="24" t="s">
        <v>958</v>
      </c>
      <c r="C182" s="25" t="s">
        <v>948</v>
      </c>
      <c r="D182" s="25" t="s">
        <v>949</v>
      </c>
      <c r="E182" s="25" t="s">
        <v>959</v>
      </c>
      <c r="F182" s="26" t="s">
        <v>960</v>
      </c>
    </row>
    <row r="183" spans="2:6" ht="20" customHeight="1">
      <c r="B183" s="21" t="s">
        <v>961</v>
      </c>
      <c r="C183" s="22" t="s">
        <v>948</v>
      </c>
      <c r="D183" s="22" t="s">
        <v>949</v>
      </c>
      <c r="E183" s="22" t="s">
        <v>962</v>
      </c>
      <c r="F183" s="23" t="s">
        <v>963</v>
      </c>
    </row>
    <row r="184" spans="2:6" ht="20" customHeight="1">
      <c r="B184" s="24" t="s">
        <v>964</v>
      </c>
      <c r="C184" s="25" t="s">
        <v>948</v>
      </c>
      <c r="D184" s="25" t="s">
        <v>949</v>
      </c>
      <c r="E184" s="25" t="s">
        <v>965</v>
      </c>
      <c r="F184" s="26" t="s">
        <v>966</v>
      </c>
    </row>
    <row r="185" spans="2:6" ht="20" customHeight="1">
      <c r="B185" s="21" t="s">
        <v>967</v>
      </c>
      <c r="C185" s="22" t="s">
        <v>948</v>
      </c>
      <c r="D185" s="22" t="s">
        <v>949</v>
      </c>
      <c r="E185" s="22" t="s">
        <v>968</v>
      </c>
      <c r="F185" s="23" t="s">
        <v>969</v>
      </c>
    </row>
    <row r="186" spans="2:6" ht="20" customHeight="1">
      <c r="B186" s="24" t="s">
        <v>970</v>
      </c>
      <c r="C186" s="25" t="s">
        <v>948</v>
      </c>
      <c r="D186" s="25" t="s">
        <v>949</v>
      </c>
      <c r="E186" s="25" t="s">
        <v>971</v>
      </c>
      <c r="F186" s="26" t="s">
        <v>972</v>
      </c>
    </row>
    <row r="187" spans="2:6" ht="20" customHeight="1">
      <c r="B187" s="21" t="s">
        <v>973</v>
      </c>
      <c r="C187" s="22" t="s">
        <v>948</v>
      </c>
      <c r="D187" s="22" t="s">
        <v>974</v>
      </c>
      <c r="E187" s="22" t="s">
        <v>975</v>
      </c>
      <c r="F187" s="23" t="s">
        <v>976</v>
      </c>
    </row>
    <row r="188" spans="2:6" ht="20" customHeight="1">
      <c r="B188" s="24" t="s">
        <v>977</v>
      </c>
      <c r="C188" s="25" t="s">
        <v>948</v>
      </c>
      <c r="D188" s="25" t="s">
        <v>974</v>
      </c>
      <c r="E188" s="25" t="s">
        <v>978</v>
      </c>
      <c r="F188" s="26" t="s">
        <v>979</v>
      </c>
    </row>
    <row r="189" spans="2:6" ht="20" customHeight="1">
      <c r="B189" s="21" t="s">
        <v>980</v>
      </c>
      <c r="C189" s="22" t="s">
        <v>948</v>
      </c>
      <c r="D189" s="22" t="s">
        <v>974</v>
      </c>
      <c r="E189" s="22" t="s">
        <v>981</v>
      </c>
      <c r="F189" s="23" t="s">
        <v>982</v>
      </c>
    </row>
    <row r="190" spans="2:6" ht="20" customHeight="1">
      <c r="B190" s="24" t="s">
        <v>983</v>
      </c>
      <c r="C190" s="25" t="s">
        <v>948</v>
      </c>
      <c r="D190" s="25" t="s">
        <v>974</v>
      </c>
      <c r="E190" s="25" t="s">
        <v>984</v>
      </c>
      <c r="F190" s="26" t="s">
        <v>985</v>
      </c>
    </row>
    <row r="191" spans="2:6" ht="20" customHeight="1">
      <c r="B191" s="21" t="s">
        <v>986</v>
      </c>
      <c r="C191" s="22" t="s">
        <v>948</v>
      </c>
      <c r="D191" s="22" t="s">
        <v>974</v>
      </c>
      <c r="E191" s="22" t="s">
        <v>987</v>
      </c>
      <c r="F191" s="23" t="s">
        <v>988</v>
      </c>
    </row>
    <row r="192" spans="2:6" ht="20" customHeight="1">
      <c r="B192" s="24" t="s">
        <v>989</v>
      </c>
      <c r="C192" s="25" t="s">
        <v>948</v>
      </c>
      <c r="D192" s="25" t="s">
        <v>974</v>
      </c>
      <c r="E192" s="25" t="s">
        <v>990</v>
      </c>
      <c r="F192" s="26" t="s">
        <v>991</v>
      </c>
    </row>
    <row r="193" spans="2:6" ht="20" customHeight="1">
      <c r="B193" s="21" t="s">
        <v>992</v>
      </c>
      <c r="C193" s="22" t="s">
        <v>948</v>
      </c>
      <c r="D193" s="22" t="s">
        <v>974</v>
      </c>
      <c r="E193" s="22" t="s">
        <v>993</v>
      </c>
      <c r="F193" s="23" t="s">
        <v>994</v>
      </c>
    </row>
    <row r="194" spans="2:6" ht="20" customHeight="1">
      <c r="B194" s="24" t="s">
        <v>995</v>
      </c>
      <c r="C194" s="25" t="s">
        <v>948</v>
      </c>
      <c r="D194" s="25" t="s">
        <v>974</v>
      </c>
      <c r="E194" s="25" t="s">
        <v>996</v>
      </c>
      <c r="F194" s="26" t="s">
        <v>997</v>
      </c>
    </row>
    <row r="195" spans="2:6" ht="20" customHeight="1">
      <c r="B195" s="21" t="s">
        <v>998</v>
      </c>
      <c r="C195" s="22" t="s">
        <v>948</v>
      </c>
      <c r="D195" s="22" t="s">
        <v>999</v>
      </c>
      <c r="E195" s="22" t="s">
        <v>1000</v>
      </c>
      <c r="F195" s="23" t="s">
        <v>1001</v>
      </c>
    </row>
    <row r="196" spans="2:6" ht="20" customHeight="1">
      <c r="B196" s="24" t="s">
        <v>1002</v>
      </c>
      <c r="C196" s="25" t="s">
        <v>948</v>
      </c>
      <c r="D196" s="25" t="s">
        <v>999</v>
      </c>
      <c r="E196" s="25" t="s">
        <v>1003</v>
      </c>
      <c r="F196" s="26" t="s">
        <v>1004</v>
      </c>
    </row>
    <row r="197" spans="2:6" ht="20" customHeight="1">
      <c r="B197" s="21" t="s">
        <v>1005</v>
      </c>
      <c r="C197" s="22" t="s">
        <v>948</v>
      </c>
      <c r="D197" s="22" t="s">
        <v>999</v>
      </c>
      <c r="E197" s="22" t="s">
        <v>1006</v>
      </c>
      <c r="F197" s="23" t="s">
        <v>1007</v>
      </c>
    </row>
    <row r="198" spans="2:6" ht="20" customHeight="1">
      <c r="B198" s="24" t="s">
        <v>1008</v>
      </c>
      <c r="C198" s="25" t="s">
        <v>948</v>
      </c>
      <c r="D198" s="25" t="s">
        <v>999</v>
      </c>
      <c r="E198" s="25" t="s">
        <v>1009</v>
      </c>
      <c r="F198" s="26" t="s">
        <v>1010</v>
      </c>
    </row>
    <row r="199" spans="2:6" ht="20" customHeight="1">
      <c r="B199" s="21" t="s">
        <v>1011</v>
      </c>
      <c r="C199" s="22" t="s">
        <v>948</v>
      </c>
      <c r="D199" s="22" t="s">
        <v>999</v>
      </c>
      <c r="E199" s="22" t="s">
        <v>1012</v>
      </c>
      <c r="F199" s="23" t="s">
        <v>1013</v>
      </c>
    </row>
    <row r="200" spans="2:6" ht="20" customHeight="1">
      <c r="B200" s="24" t="s">
        <v>1014</v>
      </c>
      <c r="C200" s="25" t="s">
        <v>948</v>
      </c>
      <c r="D200" s="25" t="s">
        <v>999</v>
      </c>
      <c r="E200" s="25" t="s">
        <v>1015</v>
      </c>
      <c r="F200" s="26" t="s">
        <v>1016</v>
      </c>
    </row>
    <row r="201" spans="2:6" ht="20" customHeight="1">
      <c r="B201" s="21" t="s">
        <v>1017</v>
      </c>
      <c r="C201" s="22" t="s">
        <v>948</v>
      </c>
      <c r="D201" s="22" t="s">
        <v>999</v>
      </c>
      <c r="E201" s="22" t="s">
        <v>1018</v>
      </c>
      <c r="F201" s="23" t="s">
        <v>1019</v>
      </c>
    </row>
    <row r="202" spans="2:6" ht="20" customHeight="1">
      <c r="B202" s="24" t="s">
        <v>1020</v>
      </c>
      <c r="C202" s="25" t="s">
        <v>948</v>
      </c>
      <c r="D202" s="25" t="s">
        <v>999</v>
      </c>
      <c r="E202" s="25" t="s">
        <v>1021</v>
      </c>
      <c r="F202" s="26" t="s">
        <v>1022</v>
      </c>
    </row>
    <row r="203" spans="2:6" ht="20" customHeight="1">
      <c r="B203" s="21" t="s">
        <v>1023</v>
      </c>
      <c r="C203" s="22" t="s">
        <v>948</v>
      </c>
      <c r="D203" s="22" t="s">
        <v>1024</v>
      </c>
      <c r="E203" s="22" t="s">
        <v>1025</v>
      </c>
      <c r="F203" s="23" t="s">
        <v>1026</v>
      </c>
    </row>
    <row r="204" spans="2:6" ht="20" customHeight="1">
      <c r="B204" s="24" t="s">
        <v>1027</v>
      </c>
      <c r="C204" s="25" t="s">
        <v>948</v>
      </c>
      <c r="D204" s="25" t="s">
        <v>1024</v>
      </c>
      <c r="E204" s="25" t="s">
        <v>1028</v>
      </c>
      <c r="F204" s="26" t="s">
        <v>1029</v>
      </c>
    </row>
    <row r="205" spans="2:6" ht="20" customHeight="1">
      <c r="B205" s="21" t="s">
        <v>1030</v>
      </c>
      <c r="C205" s="22" t="s">
        <v>948</v>
      </c>
      <c r="D205" s="22" t="s">
        <v>1024</v>
      </c>
      <c r="E205" s="22" t="s">
        <v>1031</v>
      </c>
      <c r="F205" s="23" t="s">
        <v>1032</v>
      </c>
    </row>
    <row r="206" spans="2:6" ht="20" customHeight="1">
      <c r="B206" s="24" t="s">
        <v>1033</v>
      </c>
      <c r="C206" s="25" t="s">
        <v>948</v>
      </c>
      <c r="D206" s="25" t="s">
        <v>1024</v>
      </c>
      <c r="E206" s="25" t="s">
        <v>1034</v>
      </c>
      <c r="F206" s="26" t="s">
        <v>1035</v>
      </c>
    </row>
    <row r="207" spans="2:6" ht="20" customHeight="1">
      <c r="B207" s="21" t="s">
        <v>1036</v>
      </c>
      <c r="C207" s="22" t="s">
        <v>948</v>
      </c>
      <c r="D207" s="22" t="s">
        <v>1024</v>
      </c>
      <c r="E207" s="22" t="s">
        <v>1037</v>
      </c>
      <c r="F207" s="23" t="s">
        <v>1038</v>
      </c>
    </row>
    <row r="208" spans="2:6" ht="20" customHeight="1">
      <c r="B208" s="24" t="s">
        <v>1039</v>
      </c>
      <c r="C208" s="25" t="s">
        <v>948</v>
      </c>
      <c r="D208" s="25" t="s">
        <v>1024</v>
      </c>
      <c r="E208" s="25" t="s">
        <v>1040</v>
      </c>
      <c r="F208" s="26" t="s">
        <v>1041</v>
      </c>
    </row>
    <row r="209" spans="2:6" ht="20" customHeight="1">
      <c r="B209" s="21" t="s">
        <v>1042</v>
      </c>
      <c r="C209" s="22" t="s">
        <v>948</v>
      </c>
      <c r="D209" s="22" t="s">
        <v>1024</v>
      </c>
      <c r="E209" s="22" t="s">
        <v>1043</v>
      </c>
      <c r="F209" s="23" t="s">
        <v>1044</v>
      </c>
    </row>
    <row r="210" spans="2:6" ht="20" customHeight="1">
      <c r="B210" s="24" t="s">
        <v>1045</v>
      </c>
      <c r="C210" s="25" t="s">
        <v>948</v>
      </c>
      <c r="D210" s="25" t="s">
        <v>1024</v>
      </c>
      <c r="E210" s="25" t="s">
        <v>1046</v>
      </c>
      <c r="F210" s="26" t="s">
        <v>1047</v>
      </c>
    </row>
    <row r="211" spans="2:6" ht="20" customHeight="1">
      <c r="B211" s="21" t="s">
        <v>1048</v>
      </c>
      <c r="C211" s="22" t="s">
        <v>948</v>
      </c>
      <c r="D211" s="22" t="s">
        <v>1049</v>
      </c>
      <c r="E211" s="22" t="s">
        <v>1050</v>
      </c>
      <c r="F211" s="23" t="s">
        <v>1051</v>
      </c>
    </row>
    <row r="212" spans="2:6" ht="20" customHeight="1">
      <c r="B212" s="24" t="s">
        <v>1052</v>
      </c>
      <c r="C212" s="25" t="s">
        <v>948</v>
      </c>
      <c r="D212" s="25" t="s">
        <v>1049</v>
      </c>
      <c r="E212" s="25" t="s">
        <v>1053</v>
      </c>
      <c r="F212" s="26" t="s">
        <v>1054</v>
      </c>
    </row>
    <row r="213" spans="2:6" ht="20" customHeight="1">
      <c r="B213" s="21" t="s">
        <v>1055</v>
      </c>
      <c r="C213" s="22" t="s">
        <v>948</v>
      </c>
      <c r="D213" s="22" t="s">
        <v>1049</v>
      </c>
      <c r="E213" s="22" t="s">
        <v>1056</v>
      </c>
      <c r="F213" s="23" t="s">
        <v>1057</v>
      </c>
    </row>
    <row r="214" spans="2:6" ht="20" customHeight="1">
      <c r="B214" s="24" t="s">
        <v>1058</v>
      </c>
      <c r="C214" s="25" t="s">
        <v>948</v>
      </c>
      <c r="D214" s="25" t="s">
        <v>1049</v>
      </c>
      <c r="E214" s="25" t="s">
        <v>1059</v>
      </c>
      <c r="F214" s="26" t="s">
        <v>1060</v>
      </c>
    </row>
    <row r="215" spans="2:6" ht="20" customHeight="1">
      <c r="B215" s="21" t="s">
        <v>1061</v>
      </c>
      <c r="C215" s="22" t="s">
        <v>948</v>
      </c>
      <c r="D215" s="22" t="s">
        <v>1049</v>
      </c>
      <c r="E215" s="22" t="s">
        <v>1062</v>
      </c>
      <c r="F215" s="23" t="s">
        <v>1063</v>
      </c>
    </row>
    <row r="216" spans="2:6" ht="20" customHeight="1">
      <c r="B216" s="24" t="s">
        <v>1064</v>
      </c>
      <c r="C216" s="25" t="s">
        <v>948</v>
      </c>
      <c r="D216" s="25" t="s">
        <v>1049</v>
      </c>
      <c r="E216" s="25" t="s">
        <v>1065</v>
      </c>
      <c r="F216" s="26" t="s">
        <v>1066</v>
      </c>
    </row>
    <row r="217" spans="2:6" ht="20" customHeight="1">
      <c r="B217" s="21" t="s">
        <v>1067</v>
      </c>
      <c r="C217" s="22" t="s">
        <v>948</v>
      </c>
      <c r="D217" s="22" t="s">
        <v>1049</v>
      </c>
      <c r="E217" s="22" t="s">
        <v>1068</v>
      </c>
      <c r="F217" s="23" t="s">
        <v>1069</v>
      </c>
    </row>
    <row r="218" spans="2:6" ht="20" customHeight="1">
      <c r="B218" s="24" t="s">
        <v>1070</v>
      </c>
      <c r="C218" s="25" t="s">
        <v>948</v>
      </c>
      <c r="D218" s="25" t="s">
        <v>1049</v>
      </c>
      <c r="E218" s="25" t="s">
        <v>1071</v>
      </c>
      <c r="F218" s="26" t="s">
        <v>1072</v>
      </c>
    </row>
    <row r="219" spans="2:6" ht="20" customHeight="1">
      <c r="B219" s="21" t="s">
        <v>1073</v>
      </c>
      <c r="C219" s="22" t="s">
        <v>948</v>
      </c>
      <c r="D219" s="22" t="s">
        <v>1074</v>
      </c>
      <c r="E219" s="22" t="s">
        <v>1075</v>
      </c>
      <c r="F219" s="23" t="s">
        <v>1076</v>
      </c>
    </row>
    <row r="220" spans="2:6" ht="20" customHeight="1">
      <c r="B220" s="24" t="s">
        <v>1077</v>
      </c>
      <c r="C220" s="25" t="s">
        <v>948</v>
      </c>
      <c r="D220" s="25" t="s">
        <v>1074</v>
      </c>
      <c r="E220" s="25" t="s">
        <v>1078</v>
      </c>
      <c r="F220" s="26" t="s">
        <v>1079</v>
      </c>
    </row>
    <row r="221" spans="2:6" ht="20" customHeight="1">
      <c r="B221" s="21" t="s">
        <v>1080</v>
      </c>
      <c r="C221" s="22" t="s">
        <v>948</v>
      </c>
      <c r="D221" s="22" t="s">
        <v>1074</v>
      </c>
      <c r="E221" s="22" t="s">
        <v>1081</v>
      </c>
      <c r="F221" s="23" t="s">
        <v>1082</v>
      </c>
    </row>
    <row r="222" spans="2:6" ht="20" customHeight="1">
      <c r="B222" s="24" t="s">
        <v>1083</v>
      </c>
      <c r="C222" s="25" t="s">
        <v>948</v>
      </c>
      <c r="D222" s="25" t="s">
        <v>1074</v>
      </c>
      <c r="E222" s="25" t="s">
        <v>1084</v>
      </c>
      <c r="F222" s="26" t="s">
        <v>1085</v>
      </c>
    </row>
    <row r="223" spans="2:6" ht="20" customHeight="1">
      <c r="B223" s="21" t="s">
        <v>1086</v>
      </c>
      <c r="C223" s="22" t="s">
        <v>948</v>
      </c>
      <c r="D223" s="22" t="s">
        <v>1074</v>
      </c>
      <c r="E223" s="22" t="s">
        <v>1087</v>
      </c>
      <c r="F223" s="23" t="s">
        <v>1088</v>
      </c>
    </row>
    <row r="224" spans="2:6" ht="20" customHeight="1">
      <c r="B224" s="24" t="s">
        <v>1089</v>
      </c>
      <c r="C224" s="25" t="s">
        <v>948</v>
      </c>
      <c r="D224" s="25" t="s">
        <v>1074</v>
      </c>
      <c r="E224" s="25" t="s">
        <v>1090</v>
      </c>
      <c r="F224" s="26" t="s">
        <v>1091</v>
      </c>
    </row>
    <row r="225" spans="2:6" ht="20" customHeight="1">
      <c r="B225" s="21" t="s">
        <v>1092</v>
      </c>
      <c r="C225" s="22" t="s">
        <v>948</v>
      </c>
      <c r="D225" s="22" t="s">
        <v>1074</v>
      </c>
      <c r="E225" s="22" t="s">
        <v>1093</v>
      </c>
      <c r="F225" s="23" t="s">
        <v>1094</v>
      </c>
    </row>
    <row r="226" spans="2:6" ht="20" customHeight="1" thickBot="1">
      <c r="B226" s="27" t="s">
        <v>1095</v>
      </c>
      <c r="C226" s="28" t="s">
        <v>948</v>
      </c>
      <c r="D226" s="28" t="s">
        <v>1074</v>
      </c>
      <c r="E226" s="28" t="s">
        <v>1096</v>
      </c>
      <c r="F226" s="29" t="s">
        <v>1097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ÇSGB Kodlama</vt:lpstr>
      <vt:lpstr>Birim Özeti</vt:lpstr>
      <vt:lpstr>Yetkinlik Matrisi</vt:lpstr>
      <vt:lpstr>Master Yetkinlik Lİstesi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Alphan MANAS</cp:lastModifiedBy>
  <dcterms:created xsi:type="dcterms:W3CDTF">2026-04-30T19:26:31Z</dcterms:created>
  <dcterms:modified xsi:type="dcterms:W3CDTF">2026-05-01T06:02:10Z</dcterms:modified>
</cp:coreProperties>
</file>